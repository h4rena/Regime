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cap" sheetId="1" state="visible" r:id="rId3"/>
    <sheet name="liste des taches" sheetId="2" state="visible" r:id="rId4"/>
    <sheet name="avancement projet" sheetId="3" state="visible" r:id="rId5"/>
    <sheet name="detai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<sst xmlns="http://schemas.openxmlformats.org/spreadsheetml/2006/main" count="488" uniqueCount="154">
  <si>
    <t xml:space="preserve">Avancement</t>
  </si>
  <si>
    <t xml:space="preserve">Catégorie</t>
  </si>
  <si>
    <t xml:space="preserve">Module</t>
  </si>
  <si>
    <t xml:space="preserve">Nom page</t>
  </si>
  <si>
    <t xml:space="preserve">Description</t>
  </si>
  <si>
    <t xml:space="preserve">Type</t>
  </si>
  <si>
    <t xml:space="preserve">Estimation</t>
  </si>
  <si>
    <t xml:space="preserve">Temps passé</t>
  </si>
  <si>
    <t xml:space="preserve">Reste à faire</t>
  </si>
  <si>
    <t xml:space="preserve">Qui</t>
  </si>
  <si>
    <t xml:space="preserve">Status</t>
  </si>
  <si>
    <t xml:space="preserve">database</t>
  </si>
  <si>
    <t xml:space="preserve">BASE</t>
  </si>
  <si>
    <t xml:space="preserve">***</t>
  </si>
  <si>
    <t xml:space="preserve">TABLE role</t>
  </si>
  <si>
    <t xml:space="preserve">table</t>
  </si>
  <si>
    <t xml:space="preserve">tous</t>
  </si>
  <si>
    <t xml:space="preserve">OK</t>
  </si>
  <si>
    <t xml:space="preserve">TABLE genre</t>
  </si>
  <si>
    <t xml:space="preserve">TABLE users (login + profil...)</t>
  </si>
  <si>
    <t xml:space="preserve">TABLE objectif</t>
  </si>
  <si>
    <t xml:space="preserve">TABLE sante</t>
  </si>
  <si>
    <t xml:space="preserve">TABLE regime (+ colonnes %)</t>
  </si>
  <si>
    <t xml:space="preserve">TABLE activite_sportive</t>
  </si>
  <si>
    <t xml:space="preserve">TABLE wallet</t>
  </si>
  <si>
    <t xml:space="preserve">TABLE wallet_codes</t>
  </si>
  <si>
    <t xml:space="preserve">TABLE wallet_transactions</t>
  </si>
  <si>
    <t xml:space="preserve">TABLE user_regime</t>
  </si>
  <si>
    <t xml:space="preserve">TABLE parametres</t>
  </si>
  <si>
    <t xml:space="preserve">TABLE statut</t>
  </si>
  <si>
    <t xml:space="preserve">TABLE aliment</t>
  </si>
  <si>
    <t xml:space="preserve">TABLE regime_aliment</t>
  </si>
  <si>
    <t xml:space="preserve">TABLE user_regime_activite</t>
  </si>
  <si>
    <t xml:space="preserve">DATA</t>
  </si>
  <si>
    <t xml:space="preserve">insert.sql</t>
  </si>
  <si>
    <t xml:space="preserve">Données roles (Admin/User)</t>
  </si>
  <si>
    <t xml:space="preserve">donnees</t>
  </si>
  <si>
    <t xml:space="preserve">Données genres (3)</t>
  </si>
  <si>
    <t xml:space="preserve">Données objectifs (4)</t>
  </si>
  <si>
    <t xml:space="preserve">6 régimes avec % composition</t>
  </si>
  <si>
    <t xml:space="preserve">5 activités sportives</t>
  </si>
  <si>
    <t xml:space="preserve">15 codes portefeuille</t>
  </si>
  <si>
    <t xml:space="preserve">3 utilisateurs test (1 admin + 2 users)</t>
  </si>
  <si>
    <t xml:space="preserve">web</t>
  </si>
  <si>
    <t xml:space="preserve">Models</t>
  </si>
  <si>
    <t xml:space="preserve">UserModel.php</t>
  </si>
  <si>
    <t xml:space="preserve">CRUD users</t>
  </si>
  <si>
    <t xml:space="preserve">model</t>
  </si>
  <si>
    <t xml:space="preserve">Miranto</t>
  </si>
  <si>
    <t xml:space="preserve">SanteModel.php</t>
  </si>
  <si>
    <t xml:space="preserve">Gestion santé + calcul IMC</t>
  </si>
  <si>
    <t xml:space="preserve">Harena</t>
  </si>
  <si>
    <t xml:space="preserve">RegimeModel.php</t>
  </si>
  <si>
    <t xml:space="preserve">CRUD régimes + % composition</t>
  </si>
  <si>
    <t xml:space="preserve">ActiviteModel.php</t>
  </si>
  <si>
    <t xml:space="preserve">CRUD activités sportives</t>
  </si>
  <si>
    <t xml:space="preserve">Lova</t>
  </si>
  <si>
    <t xml:space="preserve">WalletModel.php</t>
  </si>
  <si>
    <t xml:space="preserve">Gestion portefeuille utilisateur</t>
  </si>
  <si>
    <t xml:space="preserve">WalletCodeModel.php</t>
  </si>
  <si>
    <t xml:space="preserve">Validation codes portefeuille</t>
  </si>
  <si>
    <t xml:space="preserve">GenreModel.php</t>
  </si>
  <si>
    <t xml:space="preserve">CRUD genres</t>
  </si>
  <si>
    <t xml:space="preserve">ObjectifModel.php</t>
  </si>
  <si>
    <t xml:space="preserve">CRUD objectifs</t>
  </si>
  <si>
    <t xml:space="preserve">ParametreModel.php</t>
  </si>
  <si>
    <t xml:space="preserve">CRUD paramètres système</t>
  </si>
  <si>
    <t xml:space="preserve">DashboardModel.php</t>
  </si>
  <si>
    <t xml:space="preserve">Statistiques globales + graphiques</t>
  </si>
  <si>
    <t xml:space="preserve">Home</t>
  </si>
  <si>
    <t xml:space="preserve">Home.php</t>
  </si>
  <si>
    <t xml:space="preserve">index, profil, editProfil, updateProfil</t>
  </si>
  <si>
    <t xml:space="preserve">Controller</t>
  </si>
  <si>
    <t xml:space="preserve">Auth</t>
  </si>
  <si>
    <t xml:space="preserve">AuthController.php</t>
  </si>
  <si>
    <t xml:space="preserve">3 étapes inscription (infos + santé + objectif)</t>
  </si>
  <si>
    <t xml:space="preserve">Login / Logout</t>
  </si>
  <si>
    <t xml:space="preserve">Regime</t>
  </si>
  <si>
    <t xml:space="preserve">RegimeController.php</t>
  </si>
  <si>
    <t xml:space="preserve">CRUD admin régimes + % composition</t>
  </si>
  <si>
    <t xml:space="preserve">RegimeFrontend.php</t>
  </si>
  <si>
    <t xml:space="preserve">Affichage public régimes + souscription</t>
  </si>
  <si>
    <t xml:space="preserve">Activite</t>
  </si>
  <si>
    <t xml:space="preserve">ActiviteController.php</t>
  </si>
  <si>
    <t xml:space="preserve">Wallet</t>
  </si>
  <si>
    <t xml:space="preserve">WalletController.php</t>
  </si>
  <si>
    <t xml:space="preserve">Solde + ajout codes + historique</t>
  </si>
  <si>
    <t xml:space="preserve">WalletCodeController.php</t>
  </si>
  <si>
    <t xml:space="preserve">Gestion codes (admin)</t>
  </si>
  <si>
    <t xml:space="preserve">Admin</t>
  </si>
  <si>
    <t xml:space="preserve">BackofficeController.php</t>
  </si>
  <si>
    <t xml:space="preserve">Dashboard admin + statistiques</t>
  </si>
  <si>
    <t xml:space="preserve">DashbordController.php</t>
  </si>
  <si>
    <t xml:space="preserve">Graphiques avancés (10 métriques)</t>
  </si>
  <si>
    <t xml:space="preserve">ParametreController.php</t>
  </si>
  <si>
    <t xml:space="preserve">Routes</t>
  </si>
  <si>
    <t xml:space="preserve">Routes.php</t>
  </si>
  <si>
    <t xml:space="preserve">38+ routes avec filtres auth/role</t>
  </si>
  <si>
    <t xml:space="preserve">route</t>
  </si>
  <si>
    <t xml:space="preserve">Miranto &amp; Harena</t>
  </si>
  <si>
    <t xml:space="preserve">Routes publiques (accueil, régimes)</t>
  </si>
  <si>
    <t xml:space="preserve">Routes authentifiées (profil, wallet)</t>
  </si>
  <si>
    <t xml:space="preserve">Routes admin (CRUD + dashboard)</t>
  </si>
  <si>
    <t xml:space="preserve">Filters</t>
  </si>
  <si>
    <t xml:space="preserve">AuthFilter.php</t>
  </si>
  <si>
    <t xml:space="preserve">Vérification connexion utilisateur</t>
  </si>
  <si>
    <t xml:space="preserve">filter</t>
  </si>
  <si>
    <t xml:space="preserve">RoleFilter.php</t>
  </si>
  <si>
    <t xml:space="preserve">Vérification rôle Admin</t>
  </si>
  <si>
    <t xml:space="preserve">Views/auth</t>
  </si>
  <si>
    <t xml:space="preserve">login.php</t>
  </si>
  <si>
    <t xml:space="preserve">Page de connexion</t>
  </si>
  <si>
    <t xml:space="preserve">page</t>
  </si>
  <si>
    <t xml:space="preserve">inscription.php</t>
  </si>
  <si>
    <t xml:space="preserve">Étape 1 inscription (infos personnelles)</t>
  </si>
  <si>
    <t xml:space="preserve">inscription_sante.php</t>
  </si>
  <si>
    <t xml:space="preserve">Étape 2 inscription (taille/poids/IMC)</t>
  </si>
  <si>
    <t xml:space="preserve">inscription_objectif.php</t>
  </si>
  <si>
    <t xml:space="preserve">Étape 3 inscription (choix objectif)</t>
  </si>
  <si>
    <t xml:space="preserve">profil.php</t>
  </si>
  <si>
    <t xml:space="preserve">Page profil utilisateur</t>
  </si>
  <si>
    <t xml:space="preserve">profil_edit.php</t>
  </si>
  <si>
    <t xml:space="preserve">Modification profil utilisateur</t>
  </si>
  <si>
    <t xml:space="preserve">Views/regimes</t>
  </si>
  <si>
    <t xml:space="preserve">index.php</t>
  </si>
  <si>
    <t xml:space="preserve">Liste des régimes disponibles</t>
  </si>
  <si>
    <t xml:space="preserve">show.php</t>
  </si>
  <si>
    <t xml:space="preserve">Détail régime + composition visuelle</t>
  </si>
  <si>
    <t xml:space="preserve">Views/admin</t>
  </si>
  <si>
    <t xml:space="preserve">Backoffice admin (stats + listes)</t>
  </si>
  <si>
    <t xml:space="preserve">dashboard.php</t>
  </si>
  <si>
    <t xml:space="preserve">Dashboard graphiques avancés</t>
  </si>
  <si>
    <t xml:space="preserve">regime_form.php</t>
  </si>
  <si>
    <t xml:space="preserve">Formulaire création/édition régime</t>
  </si>
  <si>
    <t xml:space="preserve">activite_form.php</t>
  </si>
  <si>
    <t xml:space="preserve">Formulaire CRUD activités</t>
  </si>
  <si>
    <t xml:space="preserve">wallet_codes.php</t>
  </si>
  <si>
    <t xml:space="preserve">Gestion codes portefeuille (admin)</t>
  </si>
  <si>
    <t xml:space="preserve">parametres.php</t>
  </si>
  <si>
    <t xml:space="preserve">Gestion paramètres système</t>
  </si>
  <si>
    <t xml:space="preserve">Gold</t>
  </si>
  <si>
    <t xml:space="preserve">Activation compte Gold (50 000 Ar)</t>
  </si>
  <si>
    <t xml:space="preserve">feature</t>
  </si>
  <si>
    <t xml:space="preserve">Lova &amp; Harena</t>
  </si>
  <si>
    <t xml:space="preserve">Remise -15% pour membres Gold</t>
  </si>
  <si>
    <t xml:space="preserve">PDF</t>
  </si>
  <si>
    <t xml:space="preserve">Téléchargement PDF profil utilisateur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</si>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</sst>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dd/mm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  <fill>
      <patternFill patternType="solid">
        <fgColor rgb="FF95DCF7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DCF7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0" width="11.92"/>
  </cols>
  <sheetData>
    <row r="1" customFormat="false" ht="15" hidden="false" customHeight="false" outlineLevel="0" collapsed="false">
      <c r="A1" s="1" t="s">
        <v>0</v>
      </c>
      <c r="B1" s="2" t="n">
        <f aca="false">detail!D2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8"/>
  <sheetViews>
    <sheetView showFormulas="false" showGridLines="true" showRowColHeaders="true" showZeros="true" rightToLeft="false" tabSelected="true" showOutlineSymbols="true" defaultGridColor="true" view="normal" topLeftCell="C1" colorId="64" zoomScale="80" zoomScaleNormal="80" zoomScalePageLayoutView="100" workbookViewId="0">
      <selection pane="topLeft" activeCell="L64" activeCellId="0" sqref="L64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5" min="5" style="1" width="45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9" min="8" style="1" width="14"/>
    <col collapsed="false" customWidth="true" hidden="false" outlineLevel="0" max="10" min="10" style="1" width="13.15"/>
    <col collapsed="false" customWidth="true" hidden="false" outlineLevel="0" max="11" min="11" style="1" width="16.62"/>
    <col collapsed="false" customWidth="true" hidden="false" outlineLevel="0" max="12" min="12" style="1" width="10"/>
  </cols>
  <sheetData>
    <row r="1" customFormat="false" ht="15" hidden="false" customHeight="false" outlineLevel="0" collapsed="false">
      <c r="A1" s="3"/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0</v>
      </c>
      <c r="K1" s="3" t="s">
        <v>9</v>
      </c>
      <c r="L1" s="3" t="s">
        <v>10</v>
      </c>
    </row>
    <row r="2" customFormat="false" ht="15" hidden="false" customHeight="false" outlineLevel="0" collapsed="false"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n">
        <v>1</v>
      </c>
      <c r="H2" s="1" t="n">
        <f aca="false">detail!B2</f>
        <v>1</v>
      </c>
      <c r="I2" s="1" t="n">
        <f aca="false">G2-H2</f>
        <v>0</v>
      </c>
      <c r="J2" s="4" t="n">
        <f aca="false">(H2/(H2+I2))</f>
        <v>1</v>
      </c>
      <c r="K2" s="1" t="s">
        <v>16</v>
      </c>
      <c r="L2" s="1" t="s">
        <v>17</v>
      </c>
    </row>
    <row r="3" customFormat="false" ht="15" hidden="false" customHeight="false" outlineLevel="0" collapsed="false">
      <c r="B3" s="1" t="s">
        <v>11</v>
      </c>
      <c r="C3" s="1" t="s">
        <v>12</v>
      </c>
      <c r="D3" s="1" t="s">
        <v>13</v>
      </c>
      <c r="E3" s="1" t="s">
        <v>18</v>
      </c>
      <c r="F3" s="1" t="s">
        <v>15</v>
      </c>
      <c r="G3" s="1" t="n">
        <v>1</v>
      </c>
      <c r="H3" s="1" t="n">
        <f aca="false">detail!B3</f>
        <v>1</v>
      </c>
      <c r="I3" s="1" t="n">
        <f aca="false">G3-H3</f>
        <v>0</v>
      </c>
      <c r="J3" s="4" t="n">
        <f aca="false">(H3/(H3+I3))</f>
        <v>1</v>
      </c>
      <c r="K3" s="1" t="s">
        <v>16</v>
      </c>
      <c r="L3" s="1" t="s">
        <v>17</v>
      </c>
    </row>
    <row r="4" customFormat="false" ht="15" hidden="false" customHeight="false" outlineLevel="0" collapsed="false">
      <c r="B4" s="1" t="s">
        <v>11</v>
      </c>
      <c r="C4" s="1" t="s">
        <v>12</v>
      </c>
      <c r="D4" s="1" t="s">
        <v>13</v>
      </c>
      <c r="E4" s="1" t="s">
        <v>19</v>
      </c>
      <c r="F4" s="1" t="s">
        <v>15</v>
      </c>
      <c r="G4" s="1" t="n">
        <v>1</v>
      </c>
      <c r="H4" s="1" t="n">
        <f aca="false">detail!B4</f>
        <v>1</v>
      </c>
      <c r="I4" s="1" t="n">
        <f aca="false">G4-H4</f>
        <v>0</v>
      </c>
      <c r="J4" s="4" t="n">
        <f aca="false">(H4/(H4+I4))</f>
        <v>1</v>
      </c>
      <c r="K4" s="1" t="s">
        <v>16</v>
      </c>
      <c r="L4" s="1" t="s">
        <v>17</v>
      </c>
    </row>
    <row r="5" customFormat="false" ht="15" hidden="false" customHeight="false" outlineLevel="0" collapsed="false">
      <c r="B5" s="1" t="s">
        <v>11</v>
      </c>
      <c r="C5" s="1" t="s">
        <v>12</v>
      </c>
      <c r="D5" s="1" t="s">
        <v>13</v>
      </c>
      <c r="E5" s="1" t="s">
        <v>20</v>
      </c>
      <c r="F5" s="1" t="s">
        <v>15</v>
      </c>
      <c r="G5" s="1" t="n">
        <v>1</v>
      </c>
      <c r="H5" s="1" t="n">
        <f aca="false">detail!B5</f>
        <v>1</v>
      </c>
      <c r="I5" s="1" t="n">
        <f aca="false">G5-H5</f>
        <v>0</v>
      </c>
      <c r="J5" s="4" t="n">
        <f aca="false">(H5/(H5+I5))</f>
        <v>1</v>
      </c>
      <c r="K5" s="1" t="s">
        <v>16</v>
      </c>
      <c r="L5" s="1" t="s">
        <v>17</v>
      </c>
    </row>
    <row r="6" customFormat="false" ht="15" hidden="false" customHeight="false" outlineLevel="0" collapsed="false">
      <c r="B6" s="1" t="s">
        <v>11</v>
      </c>
      <c r="C6" s="1" t="s">
        <v>12</v>
      </c>
      <c r="D6" s="1" t="s">
        <v>13</v>
      </c>
      <c r="E6" s="1" t="s">
        <v>21</v>
      </c>
      <c r="F6" s="1" t="s">
        <v>15</v>
      </c>
      <c r="G6" s="1" t="n">
        <v>1</v>
      </c>
      <c r="H6" s="1" t="n">
        <f aca="false">detail!B6</f>
        <v>1</v>
      </c>
      <c r="I6" s="1" t="n">
        <f aca="false">G6-H6</f>
        <v>0</v>
      </c>
      <c r="J6" s="4" t="n">
        <f aca="false">(H6/(H6+I6))</f>
        <v>1</v>
      </c>
      <c r="K6" s="1" t="s">
        <v>16</v>
      </c>
      <c r="L6" s="1" t="s">
        <v>17</v>
      </c>
    </row>
    <row r="7" customFormat="false" ht="15" hidden="false" customHeight="false" outlineLevel="0" collapsed="false">
      <c r="B7" s="1" t="s">
        <v>11</v>
      </c>
      <c r="C7" s="1" t="s">
        <v>12</v>
      </c>
      <c r="D7" s="1" t="s">
        <v>13</v>
      </c>
      <c r="E7" s="1" t="s">
        <v>22</v>
      </c>
      <c r="F7" s="1" t="s">
        <v>15</v>
      </c>
      <c r="G7" s="1" t="n">
        <v>1</v>
      </c>
      <c r="H7" s="1" t="n">
        <f aca="false">detail!B7</f>
        <v>1</v>
      </c>
      <c r="I7" s="1" t="n">
        <f aca="false">G7-H7</f>
        <v>0</v>
      </c>
      <c r="J7" s="4" t="n">
        <f aca="false">(H7/(H7+I7))</f>
        <v>1</v>
      </c>
      <c r="K7" s="1" t="s">
        <v>16</v>
      </c>
      <c r="L7" s="1" t="s">
        <v>17</v>
      </c>
    </row>
    <row r="8" customFormat="false" ht="15" hidden="false" customHeight="false" outlineLevel="0" collapsed="false">
      <c r="B8" s="1" t="s">
        <v>11</v>
      </c>
      <c r="C8" s="1" t="s">
        <v>12</v>
      </c>
      <c r="D8" s="1" t="s">
        <v>13</v>
      </c>
      <c r="E8" s="1" t="s">
        <v>23</v>
      </c>
      <c r="F8" s="1" t="s">
        <v>15</v>
      </c>
      <c r="G8" s="1" t="n">
        <v>1</v>
      </c>
      <c r="H8" s="1" t="n">
        <f aca="false">detail!B8</f>
        <v>1</v>
      </c>
      <c r="I8" s="1" t="n">
        <f aca="false">G8-H8</f>
        <v>0</v>
      </c>
      <c r="J8" s="4" t="n">
        <f aca="false">(H8/(H8+I8))</f>
        <v>1</v>
      </c>
      <c r="K8" s="1" t="s">
        <v>16</v>
      </c>
      <c r="L8" s="1" t="s">
        <v>17</v>
      </c>
    </row>
    <row r="9" customFormat="false" ht="15" hidden="false" customHeight="false" outlineLevel="0" collapsed="false">
      <c r="B9" s="1" t="s">
        <v>11</v>
      </c>
      <c r="C9" s="1" t="s">
        <v>12</v>
      </c>
      <c r="D9" s="1" t="s">
        <v>13</v>
      </c>
      <c r="E9" s="1" t="s">
        <v>24</v>
      </c>
      <c r="F9" s="1" t="s">
        <v>15</v>
      </c>
      <c r="G9" s="1" t="n">
        <v>1</v>
      </c>
      <c r="H9" s="1" t="n">
        <f aca="false">detail!B9</f>
        <v>1</v>
      </c>
      <c r="I9" s="1" t="n">
        <f aca="false">G9-H9</f>
        <v>0</v>
      </c>
      <c r="J9" s="4" t="n">
        <f aca="false">(H9/(H9+I9))</f>
        <v>1</v>
      </c>
      <c r="K9" s="1" t="s">
        <v>16</v>
      </c>
      <c r="L9" s="1" t="s">
        <v>17</v>
      </c>
    </row>
    <row r="10" customFormat="false" ht="15" hidden="false" customHeight="false" outlineLevel="0" collapsed="false">
      <c r="B10" s="1" t="s">
        <v>11</v>
      </c>
      <c r="C10" s="1" t="s">
        <v>12</v>
      </c>
      <c r="D10" s="1" t="s">
        <v>13</v>
      </c>
      <c r="E10" s="1" t="s">
        <v>25</v>
      </c>
      <c r="F10" s="1" t="s">
        <v>15</v>
      </c>
      <c r="G10" s="1" t="n">
        <v>1</v>
      </c>
      <c r="H10" s="1" t="n">
        <f aca="false">detail!B10</f>
        <v>1</v>
      </c>
      <c r="I10" s="1" t="n">
        <f aca="false">G10-H10</f>
        <v>0</v>
      </c>
      <c r="J10" s="4" t="n">
        <f aca="false">(H10/(H10+I10))</f>
        <v>1</v>
      </c>
      <c r="K10" s="1" t="s">
        <v>16</v>
      </c>
      <c r="L10" s="1" t="s">
        <v>17</v>
      </c>
    </row>
    <row r="11" customFormat="false" ht="15" hidden="false" customHeight="false" outlineLevel="0" collapsed="false">
      <c r="B11" s="1" t="s">
        <v>11</v>
      </c>
      <c r="C11" s="1" t="s">
        <v>12</v>
      </c>
      <c r="D11" s="1" t="s">
        <v>13</v>
      </c>
      <c r="E11" s="1" t="s">
        <v>26</v>
      </c>
      <c r="F11" s="1" t="s">
        <v>15</v>
      </c>
      <c r="G11" s="1" t="n">
        <v>1</v>
      </c>
      <c r="H11" s="1" t="n">
        <f aca="false">detail!B11</f>
        <v>1</v>
      </c>
      <c r="I11" s="1" t="n">
        <f aca="false">G11-H11</f>
        <v>0</v>
      </c>
      <c r="J11" s="4" t="n">
        <f aca="false">(H11/(H11+I11))</f>
        <v>1</v>
      </c>
      <c r="K11" s="1" t="s">
        <v>16</v>
      </c>
      <c r="L11" s="1" t="s">
        <v>17</v>
      </c>
    </row>
    <row r="12" customFormat="false" ht="15" hidden="false" customHeight="false" outlineLevel="0" collapsed="false">
      <c r="B12" s="1" t="s">
        <v>11</v>
      </c>
      <c r="C12" s="1" t="s">
        <v>12</v>
      </c>
      <c r="D12" s="1" t="s">
        <v>13</v>
      </c>
      <c r="E12" s="1" t="s">
        <v>27</v>
      </c>
      <c r="F12" s="1" t="s">
        <v>15</v>
      </c>
      <c r="G12" s="1" t="n">
        <v>1</v>
      </c>
      <c r="H12" s="1" t="n">
        <f aca="false">detail!B12</f>
        <v>1</v>
      </c>
      <c r="I12" s="1" t="n">
        <f aca="false">G12-H12</f>
        <v>0</v>
      </c>
      <c r="J12" s="4" t="n">
        <f aca="false">(H12/(H12+I12))</f>
        <v>1</v>
      </c>
      <c r="K12" s="1" t="s">
        <v>16</v>
      </c>
      <c r="L12" s="1" t="s">
        <v>17</v>
      </c>
    </row>
    <row r="13" customFormat="false" ht="15" hidden="false" customHeight="false" outlineLevel="0" collapsed="false">
      <c r="B13" s="1" t="s">
        <v>11</v>
      </c>
      <c r="C13" s="1" t="s">
        <v>12</v>
      </c>
      <c r="D13" s="1" t="s">
        <v>13</v>
      </c>
      <c r="E13" s="1" t="s">
        <v>28</v>
      </c>
      <c r="F13" s="1" t="s">
        <v>15</v>
      </c>
      <c r="G13" s="1" t="n">
        <v>1</v>
      </c>
      <c r="H13" s="1" t="n">
        <f aca="false">detail!B13</f>
        <v>1</v>
      </c>
      <c r="I13" s="1" t="n">
        <f aca="false">G13-H13</f>
        <v>0</v>
      </c>
      <c r="J13" s="4" t="n">
        <f aca="false">(H13/(H13+I13))</f>
        <v>1</v>
      </c>
      <c r="K13" s="1" t="s">
        <v>16</v>
      </c>
      <c r="L13" s="1" t="s">
        <v>17</v>
      </c>
    </row>
    <row r="14" customFormat="false" ht="15" hidden="false" customHeight="false" outlineLevel="0" collapsed="false">
      <c r="B14" s="1" t="s">
        <v>11</v>
      </c>
      <c r="C14" s="1" t="s">
        <v>12</v>
      </c>
      <c r="D14" s="1" t="s">
        <v>13</v>
      </c>
      <c r="E14" s="1" t="s">
        <v>29</v>
      </c>
      <c r="F14" s="1" t="s">
        <v>15</v>
      </c>
      <c r="G14" s="1" t="n">
        <v>1</v>
      </c>
      <c r="H14" s="1" t="n">
        <f aca="false">detail!B14</f>
        <v>1</v>
      </c>
      <c r="I14" s="1" t="n">
        <f aca="false">G14-H14</f>
        <v>0</v>
      </c>
      <c r="J14" s="4" t="n">
        <f aca="false">(H14/(H14+I14))</f>
        <v>1</v>
      </c>
      <c r="K14" s="1" t="s">
        <v>16</v>
      </c>
      <c r="L14" s="1" t="s">
        <v>17</v>
      </c>
    </row>
    <row r="15" customFormat="false" ht="15" hidden="false" customHeight="false" outlineLevel="0" collapsed="false">
      <c r="B15" s="1" t="s">
        <v>11</v>
      </c>
      <c r="C15" s="1" t="s">
        <v>12</v>
      </c>
      <c r="D15" s="1" t="s">
        <v>13</v>
      </c>
      <c r="E15" s="1" t="s">
        <v>30</v>
      </c>
      <c r="F15" s="1" t="s">
        <v>15</v>
      </c>
      <c r="G15" s="1" t="n">
        <v>1</v>
      </c>
      <c r="H15" s="1" t="n">
        <f aca="false">detail!B15</f>
        <v>1</v>
      </c>
      <c r="I15" s="1" t="n">
        <f aca="false">G15-H15</f>
        <v>0</v>
      </c>
      <c r="J15" s="4" t="n">
        <f aca="false">(H15/(H15+I15))</f>
        <v>1</v>
      </c>
      <c r="K15" s="1" t="s">
        <v>16</v>
      </c>
      <c r="L15" s="1" t="s">
        <v>17</v>
      </c>
    </row>
    <row r="16" customFormat="false" ht="15" hidden="false" customHeight="false" outlineLevel="0" collapsed="false">
      <c r="B16" s="1" t="s">
        <v>11</v>
      </c>
      <c r="C16" s="1" t="s">
        <v>12</v>
      </c>
      <c r="D16" s="1" t="s">
        <v>13</v>
      </c>
      <c r="E16" s="1" t="s">
        <v>31</v>
      </c>
      <c r="F16" s="1" t="s">
        <v>15</v>
      </c>
      <c r="G16" s="1" t="n">
        <v>1</v>
      </c>
      <c r="H16" s="1" t="n">
        <f aca="false">detail!B16</f>
        <v>1</v>
      </c>
      <c r="I16" s="1" t="n">
        <f aca="false">G16-H16</f>
        <v>0</v>
      </c>
      <c r="J16" s="4" t="n">
        <f aca="false">(H16/(H16+I16))</f>
        <v>1</v>
      </c>
      <c r="K16" s="1" t="s">
        <v>16</v>
      </c>
      <c r="L16" s="1" t="s">
        <v>17</v>
      </c>
    </row>
    <row r="17" customFormat="false" ht="15" hidden="false" customHeight="false" outlineLevel="0" collapsed="false">
      <c r="B17" s="1" t="s">
        <v>11</v>
      </c>
      <c r="C17" s="1" t="s">
        <v>12</v>
      </c>
      <c r="D17" s="1" t="s">
        <v>13</v>
      </c>
      <c r="E17" s="1" t="s">
        <v>32</v>
      </c>
      <c r="F17" s="1" t="s">
        <v>15</v>
      </c>
      <c r="G17" s="1" t="n">
        <v>1</v>
      </c>
      <c r="H17" s="1" t="n">
        <f aca="false">detail!B17</f>
        <v>1</v>
      </c>
      <c r="I17" s="1" t="n">
        <f aca="false">G17-H17</f>
        <v>0</v>
      </c>
      <c r="J17" s="4" t="n">
        <f aca="false">(H17/(H17+I17))</f>
        <v>1</v>
      </c>
      <c r="K17" s="1" t="s">
        <v>16</v>
      </c>
      <c r="L17" s="1" t="s">
        <v>17</v>
      </c>
    </row>
    <row r="18" customFormat="false" ht="15" hidden="false" customHeight="false" outlineLevel="0" collapsed="false">
      <c r="B18" s="1" t="s">
        <v>11</v>
      </c>
      <c r="C18" s="1" t="s">
        <v>33</v>
      </c>
      <c r="D18" s="1" t="s">
        <v>34</v>
      </c>
      <c r="E18" s="1" t="s">
        <v>35</v>
      </c>
      <c r="F18" s="1" t="s">
        <v>36</v>
      </c>
      <c r="G18" s="1" t="n">
        <v>1</v>
      </c>
      <c r="H18" s="1" t="n">
        <f aca="false">detail!B18</f>
        <v>1</v>
      </c>
      <c r="I18" s="1" t="n">
        <f aca="false">G18-H18</f>
        <v>0</v>
      </c>
      <c r="J18" s="4" t="n">
        <f aca="false">(H18/(H18+I18))</f>
        <v>1</v>
      </c>
      <c r="K18" s="1" t="s">
        <v>16</v>
      </c>
      <c r="L18" s="1" t="s">
        <v>17</v>
      </c>
    </row>
    <row r="19" customFormat="false" ht="15" hidden="false" customHeight="false" outlineLevel="0" collapsed="false">
      <c r="B19" s="1" t="s">
        <v>11</v>
      </c>
      <c r="C19" s="1" t="s">
        <v>33</v>
      </c>
      <c r="D19" s="1" t="s">
        <v>34</v>
      </c>
      <c r="E19" s="1" t="s">
        <v>37</v>
      </c>
      <c r="F19" s="1" t="s">
        <v>36</v>
      </c>
      <c r="G19" s="1" t="n">
        <v>1</v>
      </c>
      <c r="H19" s="1" t="n">
        <f aca="false">detail!B19</f>
        <v>1</v>
      </c>
      <c r="I19" s="1" t="n">
        <f aca="false">G19-H19</f>
        <v>0</v>
      </c>
      <c r="J19" s="4" t="n">
        <f aca="false">(H19/(H19+I19))</f>
        <v>1</v>
      </c>
      <c r="K19" s="1" t="s">
        <v>16</v>
      </c>
      <c r="L19" s="1" t="s">
        <v>17</v>
      </c>
    </row>
    <row r="20" customFormat="false" ht="15" hidden="false" customHeight="false" outlineLevel="0" collapsed="false">
      <c r="B20" s="1" t="s">
        <v>11</v>
      </c>
      <c r="C20" s="1" t="s">
        <v>33</v>
      </c>
      <c r="D20" s="1" t="s">
        <v>34</v>
      </c>
      <c r="E20" s="1" t="s">
        <v>38</v>
      </c>
      <c r="F20" s="1" t="s">
        <v>36</v>
      </c>
      <c r="G20" s="1" t="n">
        <v>1</v>
      </c>
      <c r="H20" s="1" t="n">
        <f aca="false">detail!B20</f>
        <v>1</v>
      </c>
      <c r="I20" s="1" t="n">
        <f aca="false">G20-H20</f>
        <v>0</v>
      </c>
      <c r="J20" s="4" t="n">
        <f aca="false">(H20/(H20+I20))</f>
        <v>1</v>
      </c>
      <c r="K20" s="1" t="s">
        <v>16</v>
      </c>
      <c r="L20" s="1" t="s">
        <v>17</v>
      </c>
    </row>
    <row r="21" customFormat="false" ht="15" hidden="false" customHeight="false" outlineLevel="0" collapsed="false">
      <c r="B21" s="1" t="s">
        <v>11</v>
      </c>
      <c r="C21" s="1" t="s">
        <v>33</v>
      </c>
      <c r="D21" s="1" t="s">
        <v>34</v>
      </c>
      <c r="E21" s="1" t="s">
        <v>39</v>
      </c>
      <c r="F21" s="1" t="s">
        <v>36</v>
      </c>
      <c r="G21" s="1" t="n">
        <v>2</v>
      </c>
      <c r="H21" s="1" t="n">
        <f aca="false">detail!B21</f>
        <v>2</v>
      </c>
      <c r="I21" s="1" t="n">
        <f aca="false">G21-H21</f>
        <v>0</v>
      </c>
      <c r="J21" s="4" t="n">
        <f aca="false">(H21/(H21+I21))</f>
        <v>1</v>
      </c>
      <c r="K21" s="1" t="s">
        <v>16</v>
      </c>
      <c r="L21" s="1" t="s">
        <v>17</v>
      </c>
    </row>
    <row r="22" customFormat="false" ht="15" hidden="false" customHeight="false" outlineLevel="0" collapsed="false">
      <c r="B22" s="1" t="s">
        <v>11</v>
      </c>
      <c r="C22" s="1" t="s">
        <v>33</v>
      </c>
      <c r="D22" s="1" t="s">
        <v>34</v>
      </c>
      <c r="E22" s="1" t="s">
        <v>40</v>
      </c>
      <c r="F22" s="1" t="s">
        <v>36</v>
      </c>
      <c r="G22" s="1" t="n">
        <v>1</v>
      </c>
      <c r="H22" s="1" t="n">
        <f aca="false">detail!B22</f>
        <v>1</v>
      </c>
      <c r="I22" s="1" t="n">
        <f aca="false">G22-H22</f>
        <v>0</v>
      </c>
      <c r="J22" s="4" t="n">
        <f aca="false">(H22/(H22+I22))</f>
        <v>1</v>
      </c>
      <c r="K22" s="1" t="s">
        <v>16</v>
      </c>
      <c r="L22" s="1" t="s">
        <v>17</v>
      </c>
    </row>
    <row r="23" customFormat="false" ht="15" hidden="false" customHeight="false" outlineLevel="0" collapsed="false">
      <c r="B23" s="1" t="s">
        <v>11</v>
      </c>
      <c r="C23" s="1" t="s">
        <v>33</v>
      </c>
      <c r="D23" s="1" t="s">
        <v>34</v>
      </c>
      <c r="E23" s="1" t="s">
        <v>41</v>
      </c>
      <c r="F23" s="1" t="s">
        <v>36</v>
      </c>
      <c r="G23" s="1" t="n">
        <v>1</v>
      </c>
      <c r="H23" s="1" t="n">
        <f aca="false">detail!B23</f>
        <v>1</v>
      </c>
      <c r="I23" s="1" t="n">
        <f aca="false">G23-H23</f>
        <v>0</v>
      </c>
      <c r="J23" s="4" t="n">
        <f aca="false">(H23/(H23+I23))</f>
        <v>1</v>
      </c>
      <c r="K23" s="1" t="s">
        <v>16</v>
      </c>
      <c r="L23" s="1" t="s">
        <v>17</v>
      </c>
    </row>
    <row r="24" customFormat="false" ht="15" hidden="false" customHeight="false" outlineLevel="0" collapsed="false">
      <c r="B24" s="1" t="s">
        <v>11</v>
      </c>
      <c r="C24" s="1" t="s">
        <v>33</v>
      </c>
      <c r="D24" s="1" t="s">
        <v>34</v>
      </c>
      <c r="E24" s="1" t="s">
        <v>42</v>
      </c>
      <c r="F24" s="1" t="s">
        <v>36</v>
      </c>
      <c r="G24" s="1" t="n">
        <v>1</v>
      </c>
      <c r="H24" s="1" t="n">
        <f aca="false">detail!B24</f>
        <v>1</v>
      </c>
      <c r="I24" s="1" t="n">
        <f aca="false">G24-H24</f>
        <v>0</v>
      </c>
      <c r="J24" s="4" t="n">
        <f aca="false">(H24/(H24+I24))</f>
        <v>1</v>
      </c>
      <c r="K24" s="1" t="s">
        <v>16</v>
      </c>
      <c r="L24" s="1" t="s">
        <v>17</v>
      </c>
    </row>
    <row r="25" customFormat="false" ht="15" hidden="false" customHeight="false" outlineLevel="0" collapsed="false">
      <c r="B25" s="1" t="s">
        <v>43</v>
      </c>
      <c r="C25" s="1" t="s">
        <v>44</v>
      </c>
      <c r="D25" s="1" t="s">
        <v>45</v>
      </c>
      <c r="E25" s="1" t="s">
        <v>46</v>
      </c>
      <c r="F25" s="1" t="s">
        <v>47</v>
      </c>
      <c r="G25" s="1" t="n">
        <v>10</v>
      </c>
      <c r="H25" s="1" t="n">
        <f aca="false">detail!B25</f>
        <v>10</v>
      </c>
      <c r="I25" s="1" t="n">
        <f aca="false">G25-H25</f>
        <v>0</v>
      </c>
      <c r="J25" s="4" t="n">
        <f aca="false">(H25/(H25+I25))</f>
        <v>1</v>
      </c>
      <c r="K25" s="1" t="s">
        <v>48</v>
      </c>
      <c r="L25" s="1" t="s">
        <v>17</v>
      </c>
    </row>
    <row r="26" customFormat="false" ht="15" hidden="false" customHeight="false" outlineLevel="0" collapsed="false">
      <c r="B26" s="1" t="s">
        <v>43</v>
      </c>
      <c r="C26" s="1" t="s">
        <v>44</v>
      </c>
      <c r="D26" s="1" t="s">
        <v>49</v>
      </c>
      <c r="E26" s="1" t="s">
        <v>50</v>
      </c>
      <c r="F26" s="1" t="s">
        <v>47</v>
      </c>
      <c r="G26" s="1" t="n">
        <v>10</v>
      </c>
      <c r="H26" s="1" t="n">
        <f aca="false">detail!B26</f>
        <v>10</v>
      </c>
      <c r="I26" s="1" t="n">
        <f aca="false">G26-H26</f>
        <v>0</v>
      </c>
      <c r="J26" s="4" t="n">
        <f aca="false">(H26/(H26+I26))</f>
        <v>1</v>
      </c>
      <c r="K26" s="1" t="s">
        <v>51</v>
      </c>
      <c r="L26" s="1" t="s">
        <v>17</v>
      </c>
    </row>
    <row r="27" customFormat="false" ht="15" hidden="false" customHeight="false" outlineLevel="0" collapsed="false">
      <c r="B27" s="1" t="s">
        <v>43</v>
      </c>
      <c r="C27" s="1" t="s">
        <v>44</v>
      </c>
      <c r="D27" s="1" t="s">
        <v>52</v>
      </c>
      <c r="E27" s="1" t="s">
        <v>53</v>
      </c>
      <c r="F27" s="1" t="s">
        <v>47</v>
      </c>
      <c r="G27" s="1" t="n">
        <v>15</v>
      </c>
      <c r="H27" s="1" t="n">
        <f aca="false">detail!B27</f>
        <v>15</v>
      </c>
      <c r="I27" s="1" t="n">
        <f aca="false">G27-H27</f>
        <v>0</v>
      </c>
      <c r="J27" s="4" t="n">
        <f aca="false">(H27/(H27+I27))</f>
        <v>1</v>
      </c>
      <c r="K27" s="1" t="s">
        <v>51</v>
      </c>
      <c r="L27" s="1" t="s">
        <v>17</v>
      </c>
    </row>
    <row r="28" customFormat="false" ht="15" hidden="false" customHeight="false" outlineLevel="0" collapsed="false">
      <c r="B28" s="1" t="s">
        <v>43</v>
      </c>
      <c r="C28" s="1" t="s">
        <v>44</v>
      </c>
      <c r="D28" s="1" t="s">
        <v>54</v>
      </c>
      <c r="E28" s="1" t="s">
        <v>55</v>
      </c>
      <c r="F28" s="1" t="s">
        <v>47</v>
      </c>
      <c r="G28" s="1" t="n">
        <v>10</v>
      </c>
      <c r="H28" s="1" t="n">
        <f aca="false">detail!B28</f>
        <v>10</v>
      </c>
      <c r="I28" s="1" t="n">
        <f aca="false">G28-H28</f>
        <v>0</v>
      </c>
      <c r="J28" s="4" t="n">
        <f aca="false">(H28/(H28+I28))</f>
        <v>1</v>
      </c>
      <c r="K28" s="1" t="s">
        <v>56</v>
      </c>
      <c r="L28" s="1" t="s">
        <v>17</v>
      </c>
    </row>
    <row r="29" customFormat="false" ht="15" hidden="false" customHeight="false" outlineLevel="0" collapsed="false">
      <c r="B29" s="1" t="s">
        <v>43</v>
      </c>
      <c r="C29" s="1" t="s">
        <v>44</v>
      </c>
      <c r="D29" s="1" t="s">
        <v>57</v>
      </c>
      <c r="E29" s="1" t="s">
        <v>58</v>
      </c>
      <c r="F29" s="1" t="s">
        <v>47</v>
      </c>
      <c r="G29" s="1" t="n">
        <v>10</v>
      </c>
      <c r="H29" s="1" t="n">
        <f aca="false">detail!B29</f>
        <v>10</v>
      </c>
      <c r="I29" s="1" t="n">
        <f aca="false">G29-H29</f>
        <v>0</v>
      </c>
      <c r="J29" s="4" t="n">
        <f aca="false">(H29/(H29+I29))</f>
        <v>1</v>
      </c>
      <c r="K29" s="1" t="s">
        <v>56</v>
      </c>
      <c r="L29" s="1" t="s">
        <v>17</v>
      </c>
    </row>
    <row r="30" customFormat="false" ht="15" hidden="false" customHeight="false" outlineLevel="0" collapsed="false">
      <c r="B30" s="1" t="s">
        <v>43</v>
      </c>
      <c r="C30" s="1" t="s">
        <v>44</v>
      </c>
      <c r="D30" s="1" t="s">
        <v>59</v>
      </c>
      <c r="E30" s="1" t="s">
        <v>60</v>
      </c>
      <c r="F30" s="1" t="s">
        <v>47</v>
      </c>
      <c r="G30" s="1" t="n">
        <v>10</v>
      </c>
      <c r="H30" s="1" t="n">
        <f aca="false">detail!B30</f>
        <v>10</v>
      </c>
      <c r="I30" s="1" t="n">
        <f aca="false">G30-H30</f>
        <v>0</v>
      </c>
      <c r="J30" s="4" t="n">
        <f aca="false">(H30/(H30+I30))</f>
        <v>1</v>
      </c>
      <c r="K30" s="1" t="s">
        <v>56</v>
      </c>
      <c r="L30" s="1" t="s">
        <v>17</v>
      </c>
    </row>
    <row r="31" customFormat="false" ht="15" hidden="false" customHeight="false" outlineLevel="0" collapsed="false">
      <c r="B31" s="1" t="s">
        <v>43</v>
      </c>
      <c r="C31" s="1" t="s">
        <v>44</v>
      </c>
      <c r="D31" s="1" t="s">
        <v>61</v>
      </c>
      <c r="E31" s="1" t="s">
        <v>62</v>
      </c>
      <c r="F31" s="1" t="s">
        <v>47</v>
      </c>
      <c r="G31" s="1" t="n">
        <v>5</v>
      </c>
      <c r="H31" s="1" t="n">
        <f aca="false">detail!B31</f>
        <v>5</v>
      </c>
      <c r="I31" s="1" t="n">
        <f aca="false">G31-H31</f>
        <v>0</v>
      </c>
      <c r="J31" s="4" t="n">
        <f aca="false">(H31/(H31+I31))</f>
        <v>1</v>
      </c>
      <c r="K31" s="1" t="s">
        <v>48</v>
      </c>
      <c r="L31" s="1" t="s">
        <v>17</v>
      </c>
    </row>
    <row r="32" customFormat="false" ht="15" hidden="false" customHeight="false" outlineLevel="0" collapsed="false">
      <c r="B32" s="1" t="s">
        <v>43</v>
      </c>
      <c r="C32" s="1" t="s">
        <v>44</v>
      </c>
      <c r="D32" s="1" t="s">
        <v>63</v>
      </c>
      <c r="E32" s="1" t="s">
        <v>64</v>
      </c>
      <c r="F32" s="1" t="s">
        <v>47</v>
      </c>
      <c r="G32" s="1" t="n">
        <v>5</v>
      </c>
      <c r="H32" s="1" t="n">
        <f aca="false">detail!B32</f>
        <v>5</v>
      </c>
      <c r="I32" s="1" t="n">
        <f aca="false">G32-H32</f>
        <v>0</v>
      </c>
      <c r="J32" s="4" t="n">
        <f aca="false">(H32/(H32+I32))</f>
        <v>1</v>
      </c>
      <c r="K32" s="1" t="s">
        <v>48</v>
      </c>
      <c r="L32" s="1" t="s">
        <v>17</v>
      </c>
    </row>
    <row r="33" customFormat="false" ht="15" hidden="false" customHeight="false" outlineLevel="0" collapsed="false">
      <c r="B33" s="1" t="s">
        <v>43</v>
      </c>
      <c r="C33" s="1" t="s">
        <v>44</v>
      </c>
      <c r="D33" s="1" t="s">
        <v>65</v>
      </c>
      <c r="E33" s="1" t="s">
        <v>66</v>
      </c>
      <c r="F33" s="1" t="s">
        <v>47</v>
      </c>
      <c r="G33" s="1" t="n">
        <v>5</v>
      </c>
      <c r="H33" s="1" t="n">
        <f aca="false">detail!B33</f>
        <v>5</v>
      </c>
      <c r="I33" s="1" t="n">
        <f aca="false">G33-H33</f>
        <v>0</v>
      </c>
      <c r="J33" s="4" t="n">
        <f aca="false">(H33/(H33+I33))</f>
        <v>1</v>
      </c>
      <c r="K33" s="1" t="s">
        <v>51</v>
      </c>
      <c r="L33" s="1" t="s">
        <v>17</v>
      </c>
    </row>
    <row r="34" customFormat="false" ht="15" hidden="false" customHeight="false" outlineLevel="0" collapsed="false">
      <c r="B34" s="1" t="s">
        <v>43</v>
      </c>
      <c r="C34" s="1" t="s">
        <v>44</v>
      </c>
      <c r="D34" s="1" t="s">
        <v>67</v>
      </c>
      <c r="E34" s="1" t="s">
        <v>68</v>
      </c>
      <c r="F34" s="1" t="s">
        <v>47</v>
      </c>
      <c r="G34" s="1" t="n">
        <v>15</v>
      </c>
      <c r="H34" s="1" t="n">
        <f aca="false">detail!B34</f>
        <v>15</v>
      </c>
      <c r="I34" s="1" t="n">
        <f aca="false">G34-H34</f>
        <v>0</v>
      </c>
      <c r="J34" s="4" t="n">
        <f aca="false">(H34/(H34+I34))</f>
        <v>1</v>
      </c>
      <c r="K34" s="1" t="s">
        <v>48</v>
      </c>
      <c r="L34" s="1" t="s">
        <v>17</v>
      </c>
    </row>
    <row r="35" customFormat="false" ht="15" hidden="false" customHeight="false" outlineLevel="0" collapsed="false">
      <c r="B35" s="1" t="s">
        <v>43</v>
      </c>
      <c r="C35" s="1" t="s">
        <v>69</v>
      </c>
      <c r="D35" s="1" t="s">
        <v>70</v>
      </c>
      <c r="E35" s="1" t="s">
        <v>71</v>
      </c>
      <c r="F35" s="1" t="s">
        <v>72</v>
      </c>
      <c r="G35" s="1" t="n">
        <v>15</v>
      </c>
      <c r="H35" s="1" t="n">
        <f aca="false">detail!B35</f>
        <v>15</v>
      </c>
      <c r="I35" s="1" t="n">
        <f aca="false">G35-H35</f>
        <v>0</v>
      </c>
      <c r="J35" s="4" t="n">
        <f aca="false">(H35/(H35+I35))</f>
        <v>1</v>
      </c>
      <c r="K35" s="1" t="s">
        <v>51</v>
      </c>
      <c r="L35" s="1" t="s">
        <v>17</v>
      </c>
    </row>
    <row r="36" customFormat="false" ht="15" hidden="false" customHeight="false" outlineLevel="0" collapsed="false">
      <c r="B36" s="1" t="s">
        <v>43</v>
      </c>
      <c r="C36" s="1" t="s">
        <v>73</v>
      </c>
      <c r="D36" s="1" t="s">
        <v>74</v>
      </c>
      <c r="E36" s="1" t="s">
        <v>75</v>
      </c>
      <c r="F36" s="1" t="s">
        <v>72</v>
      </c>
      <c r="G36" s="1" t="n">
        <v>20</v>
      </c>
      <c r="H36" s="1" t="n">
        <f aca="false">detail!B36</f>
        <v>20</v>
      </c>
      <c r="I36" s="1" t="n">
        <f aca="false">G36-H36</f>
        <v>0</v>
      </c>
      <c r="J36" s="4" t="n">
        <f aca="false">(H36/(H36+I36))</f>
        <v>1</v>
      </c>
      <c r="K36" s="1" t="s">
        <v>48</v>
      </c>
      <c r="L36" s="1" t="s">
        <v>17</v>
      </c>
    </row>
    <row r="37" customFormat="false" ht="15" hidden="false" customHeight="false" outlineLevel="0" collapsed="false">
      <c r="B37" s="1" t="s">
        <v>43</v>
      </c>
      <c r="C37" s="1" t="s">
        <v>73</v>
      </c>
      <c r="D37" s="1" t="s">
        <v>74</v>
      </c>
      <c r="E37" s="1" t="s">
        <v>76</v>
      </c>
      <c r="F37" s="1" t="s">
        <v>72</v>
      </c>
      <c r="G37" s="1" t="n">
        <v>10</v>
      </c>
      <c r="H37" s="1" t="n">
        <f aca="false">detail!B37</f>
        <v>10</v>
      </c>
      <c r="I37" s="1" t="n">
        <f aca="false">G37-H37</f>
        <v>0</v>
      </c>
      <c r="J37" s="4" t="n">
        <f aca="false">(H37/(H37+I37))</f>
        <v>1</v>
      </c>
      <c r="K37" s="1" t="s">
        <v>48</v>
      </c>
      <c r="L37" s="1" t="s">
        <v>17</v>
      </c>
    </row>
    <row r="38" customFormat="false" ht="15" hidden="false" customHeight="false" outlineLevel="0" collapsed="false">
      <c r="B38" s="1" t="s">
        <v>43</v>
      </c>
      <c r="C38" s="1" t="s">
        <v>77</v>
      </c>
      <c r="D38" s="1" t="s">
        <v>78</v>
      </c>
      <c r="E38" s="1" t="s">
        <v>79</v>
      </c>
      <c r="F38" s="1" t="s">
        <v>72</v>
      </c>
      <c r="G38" s="1" t="n">
        <v>20</v>
      </c>
      <c r="H38" s="1" t="n">
        <f aca="false">detail!B38</f>
        <v>20</v>
      </c>
      <c r="I38" s="1" t="n">
        <f aca="false">G38-H38</f>
        <v>0</v>
      </c>
      <c r="J38" s="4" t="n">
        <f aca="false">(H38/(H38+I38))</f>
        <v>1</v>
      </c>
      <c r="K38" s="1" t="s">
        <v>48</v>
      </c>
      <c r="L38" s="1" t="s">
        <v>17</v>
      </c>
    </row>
    <row r="39" customFormat="false" ht="15" hidden="false" customHeight="false" outlineLevel="0" collapsed="false">
      <c r="B39" s="1" t="s">
        <v>43</v>
      </c>
      <c r="C39" s="1" t="s">
        <v>77</v>
      </c>
      <c r="D39" s="1" t="s">
        <v>80</v>
      </c>
      <c r="E39" s="1" t="s">
        <v>81</v>
      </c>
      <c r="F39" s="1" t="s">
        <v>72</v>
      </c>
      <c r="G39" s="1" t="n">
        <v>15</v>
      </c>
      <c r="H39" s="1" t="n">
        <f aca="false">detail!B39</f>
        <v>15</v>
      </c>
      <c r="I39" s="1" t="n">
        <f aca="false">G39-H39</f>
        <v>0</v>
      </c>
      <c r="J39" s="4" t="n">
        <f aca="false">(H39/(H39+I39))</f>
        <v>1</v>
      </c>
      <c r="K39" s="1" t="s">
        <v>51</v>
      </c>
      <c r="L39" s="1" t="s">
        <v>17</v>
      </c>
    </row>
    <row r="40" customFormat="false" ht="15" hidden="false" customHeight="false" outlineLevel="0" collapsed="false">
      <c r="B40" s="1" t="s">
        <v>43</v>
      </c>
      <c r="C40" s="1" t="s">
        <v>82</v>
      </c>
      <c r="D40" s="1" t="s">
        <v>83</v>
      </c>
      <c r="E40" s="1" t="s">
        <v>55</v>
      </c>
      <c r="F40" s="1" t="s">
        <v>72</v>
      </c>
      <c r="G40" s="1" t="n">
        <v>10</v>
      </c>
      <c r="H40" s="1" t="n">
        <f aca="false">detail!B40</f>
        <v>10</v>
      </c>
      <c r="I40" s="1" t="n">
        <f aca="false">G40-H40</f>
        <v>0</v>
      </c>
      <c r="J40" s="4" t="n">
        <f aca="false">(H40/(H40+I40))</f>
        <v>1</v>
      </c>
      <c r="K40" s="1" t="s">
        <v>51</v>
      </c>
      <c r="L40" s="1" t="s">
        <v>17</v>
      </c>
    </row>
    <row r="41" customFormat="false" ht="15" hidden="false" customHeight="false" outlineLevel="0" collapsed="false">
      <c r="B41" s="1" t="s">
        <v>43</v>
      </c>
      <c r="C41" s="1" t="s">
        <v>84</v>
      </c>
      <c r="D41" s="1" t="s">
        <v>85</v>
      </c>
      <c r="E41" s="1" t="s">
        <v>86</v>
      </c>
      <c r="F41" s="1" t="s">
        <v>72</v>
      </c>
      <c r="G41" s="1" t="n">
        <v>15</v>
      </c>
      <c r="H41" s="1" t="n">
        <f aca="false">detail!B41</f>
        <v>15</v>
      </c>
      <c r="I41" s="1" t="n">
        <f aca="false">G41-H41</f>
        <v>0</v>
      </c>
      <c r="J41" s="4" t="n">
        <f aca="false">(H41/(H41+I41))</f>
        <v>1</v>
      </c>
      <c r="K41" s="1" t="s">
        <v>56</v>
      </c>
      <c r="L41" s="1" t="s">
        <v>17</v>
      </c>
    </row>
    <row r="42" customFormat="false" ht="15" hidden="false" customHeight="false" outlineLevel="0" collapsed="false">
      <c r="B42" s="1" t="s">
        <v>43</v>
      </c>
      <c r="C42" s="1" t="s">
        <v>84</v>
      </c>
      <c r="D42" s="1" t="s">
        <v>87</v>
      </c>
      <c r="E42" s="1" t="s">
        <v>88</v>
      </c>
      <c r="F42" s="1" t="s">
        <v>72</v>
      </c>
      <c r="G42" s="1" t="n">
        <v>10</v>
      </c>
      <c r="H42" s="1" t="n">
        <f aca="false">detail!B42</f>
        <v>10</v>
      </c>
      <c r="I42" s="1" t="n">
        <f aca="false">G42-H42</f>
        <v>0</v>
      </c>
      <c r="J42" s="4" t="n">
        <f aca="false">(H42/(H42+I42))</f>
        <v>1</v>
      </c>
      <c r="K42" s="1" t="s">
        <v>51</v>
      </c>
      <c r="L42" s="1" t="s">
        <v>17</v>
      </c>
    </row>
    <row r="43" customFormat="false" ht="15" hidden="false" customHeight="false" outlineLevel="0" collapsed="false">
      <c r="B43" s="1" t="s">
        <v>43</v>
      </c>
      <c r="C43" s="1" t="s">
        <v>89</v>
      </c>
      <c r="D43" s="1" t="s">
        <v>90</v>
      </c>
      <c r="E43" s="1" t="s">
        <v>91</v>
      </c>
      <c r="F43" s="1" t="s">
        <v>72</v>
      </c>
      <c r="G43" s="1" t="n">
        <v>15</v>
      </c>
      <c r="H43" s="1" t="n">
        <f aca="false">detail!B43</f>
        <v>15</v>
      </c>
      <c r="I43" s="1" t="n">
        <f aca="false">G43-H43</f>
        <v>0</v>
      </c>
      <c r="J43" s="4" t="n">
        <f aca="false">(H43/(H43+I43))</f>
        <v>1</v>
      </c>
      <c r="K43" s="1" t="s">
        <v>48</v>
      </c>
      <c r="L43" s="1" t="s">
        <v>17</v>
      </c>
    </row>
    <row r="44" customFormat="false" ht="15" hidden="false" customHeight="false" outlineLevel="0" collapsed="false">
      <c r="B44" s="1" t="s">
        <v>43</v>
      </c>
      <c r="C44" s="1" t="s">
        <v>89</v>
      </c>
      <c r="D44" s="1" t="s">
        <v>92</v>
      </c>
      <c r="E44" s="1" t="s">
        <v>93</v>
      </c>
      <c r="F44" s="1" t="s">
        <v>72</v>
      </c>
      <c r="G44" s="1" t="n">
        <v>20</v>
      </c>
      <c r="H44" s="1" t="n">
        <f aca="false">detail!B44</f>
        <v>20</v>
      </c>
      <c r="I44" s="1" t="n">
        <f aca="false">G44-H44</f>
        <v>0</v>
      </c>
      <c r="J44" s="4" t="n">
        <f aca="false">(H44/(H44+I44))</f>
        <v>1</v>
      </c>
      <c r="K44" s="1" t="s">
        <v>48</v>
      </c>
      <c r="L44" s="1" t="s">
        <v>17</v>
      </c>
    </row>
    <row r="45" customFormat="false" ht="15" hidden="false" customHeight="false" outlineLevel="0" collapsed="false">
      <c r="B45" s="1" t="s">
        <v>43</v>
      </c>
      <c r="C45" s="1" t="s">
        <v>89</v>
      </c>
      <c r="D45" s="1" t="s">
        <v>94</v>
      </c>
      <c r="E45" s="1" t="s">
        <v>66</v>
      </c>
      <c r="F45" s="1" t="s">
        <v>72</v>
      </c>
      <c r="G45" s="1" t="n">
        <v>10</v>
      </c>
      <c r="H45" s="1" t="n">
        <f aca="false">detail!B45</f>
        <v>10</v>
      </c>
      <c r="I45" s="1" t="n">
        <f aca="false">G45-H45</f>
        <v>0</v>
      </c>
      <c r="J45" s="4" t="n">
        <f aca="false">(H45/(H45+I45))</f>
        <v>1</v>
      </c>
      <c r="K45" s="1" t="s">
        <v>51</v>
      </c>
      <c r="L45" s="1" t="s">
        <v>17</v>
      </c>
    </row>
    <row r="46" customFormat="false" ht="15" hidden="false" customHeight="false" outlineLevel="0" collapsed="false">
      <c r="B46" s="1" t="s">
        <v>43</v>
      </c>
      <c r="C46" s="1" t="s">
        <v>95</v>
      </c>
      <c r="D46" s="1" t="s">
        <v>96</v>
      </c>
      <c r="E46" s="1" t="s">
        <v>97</v>
      </c>
      <c r="F46" s="1" t="s">
        <v>98</v>
      </c>
      <c r="G46" s="1" t="n">
        <v>10</v>
      </c>
      <c r="H46" s="1" t="n">
        <f aca="false">detail!B46</f>
        <v>10</v>
      </c>
      <c r="I46" s="1" t="n">
        <f aca="false">G46-H46</f>
        <v>0</v>
      </c>
      <c r="J46" s="4" t="n">
        <f aca="false">(H46/(H46+I46))</f>
        <v>1</v>
      </c>
      <c r="K46" s="1" t="s">
        <v>99</v>
      </c>
      <c r="L46" s="1" t="s">
        <v>17</v>
      </c>
    </row>
    <row r="47" customFormat="false" ht="15" hidden="false" customHeight="false" outlineLevel="0" collapsed="false">
      <c r="B47" s="1" t="s">
        <v>43</v>
      </c>
      <c r="C47" s="1" t="s">
        <v>95</v>
      </c>
      <c r="D47" s="1" t="s">
        <v>96</v>
      </c>
      <c r="E47" s="1" t="s">
        <v>100</v>
      </c>
      <c r="F47" s="1" t="s">
        <v>98</v>
      </c>
      <c r="G47" s="1" t="n">
        <v>5</v>
      </c>
      <c r="H47" s="1" t="n">
        <f aca="false">detail!B47</f>
        <v>5</v>
      </c>
      <c r="I47" s="1" t="n">
        <f aca="false">G47-H47</f>
        <v>0</v>
      </c>
      <c r="J47" s="4" t="n">
        <f aca="false">(H47/(H47+I47))</f>
        <v>1</v>
      </c>
      <c r="K47" s="1" t="s">
        <v>99</v>
      </c>
      <c r="L47" s="1" t="s">
        <v>17</v>
      </c>
    </row>
    <row r="48" customFormat="false" ht="15" hidden="false" customHeight="false" outlineLevel="0" collapsed="false">
      <c r="B48" s="1" t="s">
        <v>43</v>
      </c>
      <c r="C48" s="1" t="s">
        <v>95</v>
      </c>
      <c r="D48" s="1" t="s">
        <v>96</v>
      </c>
      <c r="E48" s="1" t="s">
        <v>101</v>
      </c>
      <c r="F48" s="1" t="s">
        <v>98</v>
      </c>
      <c r="G48" s="1" t="n">
        <v>5</v>
      </c>
      <c r="H48" s="1" t="n">
        <f aca="false">detail!B48</f>
        <v>5</v>
      </c>
      <c r="I48" s="1" t="n">
        <f aca="false">G48-H48</f>
        <v>0</v>
      </c>
      <c r="J48" s="4" t="n">
        <f aca="false">(H48/(H48+I48))</f>
        <v>1</v>
      </c>
      <c r="K48" s="1" t="s">
        <v>56</v>
      </c>
      <c r="L48" s="1" t="s">
        <v>17</v>
      </c>
    </row>
    <row r="49" customFormat="false" ht="15" hidden="false" customHeight="false" outlineLevel="0" collapsed="false">
      <c r="B49" s="1" t="s">
        <v>43</v>
      </c>
      <c r="C49" s="1" t="s">
        <v>95</v>
      </c>
      <c r="D49" s="1" t="s">
        <v>96</v>
      </c>
      <c r="E49" s="1" t="s">
        <v>102</v>
      </c>
      <c r="F49" s="1" t="s">
        <v>98</v>
      </c>
      <c r="G49" s="1" t="n">
        <v>5</v>
      </c>
      <c r="H49" s="1" t="n">
        <f aca="false">detail!B49</f>
        <v>5</v>
      </c>
      <c r="I49" s="1" t="n">
        <f aca="false">G49-H49</f>
        <v>0</v>
      </c>
      <c r="J49" s="4" t="n">
        <f aca="false">(H49/(H49+I49))</f>
        <v>1</v>
      </c>
      <c r="K49" s="1" t="s">
        <v>48</v>
      </c>
      <c r="L49" s="1" t="s">
        <v>17</v>
      </c>
    </row>
    <row r="50" customFormat="false" ht="15" hidden="false" customHeight="false" outlineLevel="0" collapsed="false">
      <c r="B50" s="1" t="s">
        <v>43</v>
      </c>
      <c r="C50" s="1" t="s">
        <v>103</v>
      </c>
      <c r="D50" s="1" t="s">
        <v>104</v>
      </c>
      <c r="E50" s="1" t="s">
        <v>105</v>
      </c>
      <c r="F50" s="1" t="s">
        <v>106</v>
      </c>
      <c r="G50" s="1" t="n">
        <v>5</v>
      </c>
      <c r="H50" s="1" t="n">
        <f aca="false">detail!B50</f>
        <v>5</v>
      </c>
      <c r="I50" s="1" t="n">
        <f aca="false">G50-H50</f>
        <v>0</v>
      </c>
      <c r="J50" s="4" t="n">
        <f aca="false">(H50/(H50+I50))</f>
        <v>1</v>
      </c>
      <c r="K50" s="1" t="s">
        <v>48</v>
      </c>
      <c r="L50" s="1" t="s">
        <v>17</v>
      </c>
    </row>
    <row r="51" customFormat="false" ht="15" hidden="false" customHeight="false" outlineLevel="0" collapsed="false">
      <c r="B51" s="1" t="s">
        <v>43</v>
      </c>
      <c r="C51" s="1" t="s">
        <v>103</v>
      </c>
      <c r="D51" s="1" t="s">
        <v>107</v>
      </c>
      <c r="E51" s="1" t="s">
        <v>108</v>
      </c>
      <c r="F51" s="1" t="s">
        <v>106</v>
      </c>
      <c r="G51" s="1" t="n">
        <v>5</v>
      </c>
      <c r="H51" s="1" t="n">
        <f aca="false">detail!B51</f>
        <v>5</v>
      </c>
      <c r="I51" s="1" t="n">
        <f aca="false">G51-H51</f>
        <v>0</v>
      </c>
      <c r="J51" s="4" t="n">
        <f aca="false">(H51/(H51+I51))</f>
        <v>1</v>
      </c>
      <c r="K51" s="1" t="s">
        <v>48</v>
      </c>
      <c r="L51" s="1" t="s">
        <v>17</v>
      </c>
    </row>
    <row r="52" customFormat="false" ht="15" hidden="false" customHeight="false" outlineLevel="0" collapsed="false">
      <c r="B52" s="1" t="s">
        <v>43</v>
      </c>
      <c r="C52" s="1" t="s">
        <v>109</v>
      </c>
      <c r="D52" s="1" t="s">
        <v>110</v>
      </c>
      <c r="E52" s="1" t="s">
        <v>111</v>
      </c>
      <c r="F52" s="1" t="s">
        <v>112</v>
      </c>
      <c r="G52" s="1" t="n">
        <v>10</v>
      </c>
      <c r="H52" s="1" t="n">
        <f aca="false">detail!B52</f>
        <v>10</v>
      </c>
      <c r="I52" s="1" t="n">
        <f aca="false">G52-H52</f>
        <v>0</v>
      </c>
      <c r="J52" s="4" t="n">
        <f aca="false">(H52/(H52+I52))</f>
        <v>1</v>
      </c>
      <c r="K52" s="1" t="s">
        <v>48</v>
      </c>
      <c r="L52" s="1" t="s">
        <v>17</v>
      </c>
    </row>
    <row r="53" customFormat="false" ht="15" hidden="false" customHeight="false" outlineLevel="0" collapsed="false">
      <c r="B53" s="1" t="s">
        <v>43</v>
      </c>
      <c r="C53" s="1" t="s">
        <v>109</v>
      </c>
      <c r="D53" s="1" t="s">
        <v>113</v>
      </c>
      <c r="E53" s="1" t="s">
        <v>114</v>
      </c>
      <c r="F53" s="1" t="s">
        <v>112</v>
      </c>
      <c r="G53" s="1" t="n">
        <v>10</v>
      </c>
      <c r="H53" s="1" t="n">
        <f aca="false">detail!B53</f>
        <v>10</v>
      </c>
      <c r="I53" s="1" t="n">
        <f aca="false">G53-H53</f>
        <v>0</v>
      </c>
      <c r="J53" s="4" t="n">
        <f aca="false">(H53/(H53+I53))</f>
        <v>1</v>
      </c>
      <c r="K53" s="1" t="s">
        <v>48</v>
      </c>
      <c r="L53" s="1" t="s">
        <v>17</v>
      </c>
    </row>
    <row r="54" customFormat="false" ht="15" hidden="false" customHeight="false" outlineLevel="0" collapsed="false">
      <c r="B54" s="1" t="s">
        <v>43</v>
      </c>
      <c r="C54" s="1" t="s">
        <v>109</v>
      </c>
      <c r="D54" s="1" t="s">
        <v>115</v>
      </c>
      <c r="E54" s="1" t="s">
        <v>116</v>
      </c>
      <c r="F54" s="1" t="s">
        <v>112</v>
      </c>
      <c r="G54" s="1" t="n">
        <v>10</v>
      </c>
      <c r="H54" s="1" t="n">
        <f aca="false">detail!B54</f>
        <v>10</v>
      </c>
      <c r="I54" s="1" t="n">
        <f aca="false">G54-H54</f>
        <v>0</v>
      </c>
      <c r="J54" s="4" t="n">
        <f aca="false">(H54/(H54+I54))</f>
        <v>1</v>
      </c>
      <c r="K54" s="1" t="s">
        <v>48</v>
      </c>
      <c r="L54" s="1" t="s">
        <v>17</v>
      </c>
    </row>
    <row r="55" customFormat="false" ht="15" hidden="false" customHeight="false" outlineLevel="0" collapsed="false">
      <c r="B55" s="1" t="s">
        <v>43</v>
      </c>
      <c r="C55" s="1" t="s">
        <v>109</v>
      </c>
      <c r="D55" s="1" t="s">
        <v>117</v>
      </c>
      <c r="E55" s="1" t="s">
        <v>118</v>
      </c>
      <c r="F55" s="1" t="s">
        <v>112</v>
      </c>
      <c r="G55" s="1" t="n">
        <v>10</v>
      </c>
      <c r="H55" s="1" t="n">
        <f aca="false">detail!B55</f>
        <v>10</v>
      </c>
      <c r="I55" s="1" t="n">
        <f aca="false">G55-H55</f>
        <v>0</v>
      </c>
      <c r="J55" s="4" t="n">
        <f aca="false">(H55/(H55+I55))</f>
        <v>1</v>
      </c>
      <c r="K55" s="1" t="s">
        <v>48</v>
      </c>
      <c r="L55" s="1" t="s">
        <v>17</v>
      </c>
    </row>
    <row r="56" customFormat="false" ht="15" hidden="false" customHeight="false" outlineLevel="0" collapsed="false">
      <c r="B56" s="1" t="s">
        <v>43</v>
      </c>
      <c r="C56" s="1" t="s">
        <v>109</v>
      </c>
      <c r="D56" s="1" t="s">
        <v>119</v>
      </c>
      <c r="E56" s="1" t="s">
        <v>120</v>
      </c>
      <c r="F56" s="1" t="s">
        <v>112</v>
      </c>
      <c r="G56" s="1" t="n">
        <v>10</v>
      </c>
      <c r="H56" s="1" t="n">
        <f aca="false">detail!B56</f>
        <v>10</v>
      </c>
      <c r="I56" s="1" t="n">
        <f aca="false">G56-H56</f>
        <v>0</v>
      </c>
      <c r="J56" s="4" t="n">
        <f aca="false">(H56/(H56+I56))</f>
        <v>1</v>
      </c>
      <c r="K56" s="1" t="s">
        <v>51</v>
      </c>
      <c r="L56" s="1" t="s">
        <v>17</v>
      </c>
    </row>
    <row r="57" customFormat="false" ht="15" hidden="false" customHeight="false" outlineLevel="0" collapsed="false">
      <c r="B57" s="1" t="s">
        <v>43</v>
      </c>
      <c r="C57" s="1" t="s">
        <v>109</v>
      </c>
      <c r="D57" s="1" t="s">
        <v>121</v>
      </c>
      <c r="E57" s="1" t="s">
        <v>122</v>
      </c>
      <c r="F57" s="1" t="s">
        <v>112</v>
      </c>
      <c r="G57" s="1" t="n">
        <v>10</v>
      </c>
      <c r="H57" s="1" t="n">
        <f aca="false">detail!B57</f>
        <v>10</v>
      </c>
      <c r="I57" s="1" t="n">
        <f aca="false">G57-H57</f>
        <v>0</v>
      </c>
      <c r="J57" s="4" t="n">
        <f aca="false">(H57/(H57+I57))</f>
        <v>1</v>
      </c>
      <c r="K57" s="1" t="s">
        <v>51</v>
      </c>
      <c r="L57" s="1" t="s">
        <v>17</v>
      </c>
    </row>
    <row r="58" customFormat="false" ht="15" hidden="false" customHeight="false" outlineLevel="0" collapsed="false">
      <c r="B58" s="1" t="s">
        <v>43</v>
      </c>
      <c r="C58" s="1" t="s">
        <v>123</v>
      </c>
      <c r="D58" s="1" t="s">
        <v>124</v>
      </c>
      <c r="E58" s="1" t="s">
        <v>125</v>
      </c>
      <c r="F58" s="1" t="s">
        <v>112</v>
      </c>
      <c r="G58" s="1" t="n">
        <v>10</v>
      </c>
      <c r="H58" s="1" t="n">
        <f aca="false">detail!B58</f>
        <v>10</v>
      </c>
      <c r="I58" s="1" t="n">
        <f aca="false">G58-H58</f>
        <v>0</v>
      </c>
      <c r="J58" s="4" t="n">
        <f aca="false">(H58/(H58+I58))</f>
        <v>1</v>
      </c>
      <c r="K58" s="1" t="s">
        <v>51</v>
      </c>
      <c r="L58" s="1" t="s">
        <v>17</v>
      </c>
    </row>
    <row r="59" customFormat="false" ht="15" hidden="false" customHeight="false" outlineLevel="0" collapsed="false">
      <c r="B59" s="1" t="s">
        <v>43</v>
      </c>
      <c r="C59" s="1" t="s">
        <v>123</v>
      </c>
      <c r="D59" s="1" t="s">
        <v>126</v>
      </c>
      <c r="E59" s="1" t="s">
        <v>127</v>
      </c>
      <c r="F59" s="1" t="s">
        <v>112</v>
      </c>
      <c r="G59" s="1" t="n">
        <v>15</v>
      </c>
      <c r="H59" s="1" t="n">
        <f aca="false">detail!B59</f>
        <v>15</v>
      </c>
      <c r="I59" s="1" t="n">
        <f aca="false">G59-H59</f>
        <v>0</v>
      </c>
      <c r="J59" s="4" t="n">
        <f aca="false">(H59/(H59+I59))</f>
        <v>1</v>
      </c>
      <c r="K59" s="1" t="s">
        <v>51</v>
      </c>
      <c r="L59" s="1" t="s">
        <v>17</v>
      </c>
    </row>
    <row r="60" customFormat="false" ht="15" hidden="false" customHeight="false" outlineLevel="0" collapsed="false">
      <c r="B60" s="1" t="s">
        <v>43</v>
      </c>
      <c r="C60" s="1" t="s">
        <v>128</v>
      </c>
      <c r="D60" s="1" t="s">
        <v>124</v>
      </c>
      <c r="E60" s="1" t="s">
        <v>129</v>
      </c>
      <c r="F60" s="1" t="s">
        <v>112</v>
      </c>
      <c r="G60" s="1" t="n">
        <v>10</v>
      </c>
      <c r="H60" s="1" t="n">
        <f aca="false">detail!B60</f>
        <v>10</v>
      </c>
      <c r="I60" s="1" t="n">
        <f aca="false">G60-H60</f>
        <v>0</v>
      </c>
      <c r="J60" s="4" t="n">
        <f aca="false">(H60/(H60+I60))</f>
        <v>1</v>
      </c>
      <c r="K60" s="1" t="s">
        <v>48</v>
      </c>
      <c r="L60" s="1" t="s">
        <v>17</v>
      </c>
    </row>
    <row r="61" customFormat="false" ht="15" hidden="false" customHeight="false" outlineLevel="0" collapsed="false">
      <c r="B61" s="1" t="s">
        <v>43</v>
      </c>
      <c r="C61" s="1" t="s">
        <v>128</v>
      </c>
      <c r="D61" s="1" t="s">
        <v>130</v>
      </c>
      <c r="E61" s="1" t="s">
        <v>131</v>
      </c>
      <c r="F61" s="1" t="s">
        <v>112</v>
      </c>
      <c r="G61" s="1" t="n">
        <v>15</v>
      </c>
      <c r="H61" s="1" t="n">
        <f aca="false">detail!B61</f>
        <v>15</v>
      </c>
      <c r="I61" s="1" t="n">
        <f aca="false">G61-H61</f>
        <v>0</v>
      </c>
      <c r="J61" s="4" t="n">
        <f aca="false">(H61/(H61+I61))</f>
        <v>1</v>
      </c>
      <c r="K61" s="1" t="s">
        <v>48</v>
      </c>
      <c r="L61" s="1" t="s">
        <v>17</v>
      </c>
    </row>
    <row r="62" customFormat="false" ht="15" hidden="false" customHeight="false" outlineLevel="0" collapsed="false">
      <c r="B62" s="1" t="s">
        <v>43</v>
      </c>
      <c r="C62" s="1" t="s">
        <v>128</v>
      </c>
      <c r="D62" s="1" t="s">
        <v>132</v>
      </c>
      <c r="E62" s="1" t="s">
        <v>133</v>
      </c>
      <c r="F62" s="1" t="s">
        <v>112</v>
      </c>
      <c r="G62" s="1" t="n">
        <v>10</v>
      </c>
      <c r="H62" s="1" t="n">
        <f aca="false">detail!B62</f>
        <v>10</v>
      </c>
      <c r="I62" s="1" t="n">
        <f aca="false">G62-H62</f>
        <v>0</v>
      </c>
      <c r="J62" s="4" t="n">
        <f aca="false">(H62/(H62+I62))</f>
        <v>1</v>
      </c>
      <c r="K62" s="1" t="s">
        <v>51</v>
      </c>
      <c r="L62" s="1" t="s">
        <v>17</v>
      </c>
    </row>
    <row r="63" customFormat="false" ht="15" hidden="false" customHeight="false" outlineLevel="0" collapsed="false">
      <c r="B63" s="1" t="s">
        <v>43</v>
      </c>
      <c r="C63" s="1" t="s">
        <v>128</v>
      </c>
      <c r="D63" s="1" t="s">
        <v>134</v>
      </c>
      <c r="E63" s="1" t="s">
        <v>135</v>
      </c>
      <c r="F63" s="1" t="s">
        <v>112</v>
      </c>
      <c r="G63" s="1" t="n">
        <v>10</v>
      </c>
      <c r="H63" s="1" t="n">
        <f aca="false">detail!B63</f>
        <v>10</v>
      </c>
      <c r="I63" s="1" t="n">
        <f aca="false">G63-H63</f>
        <v>0</v>
      </c>
      <c r="J63" s="4" t="n">
        <f aca="false">(H63/(H63+I63))</f>
        <v>1</v>
      </c>
      <c r="K63" s="1" t="s">
        <v>51</v>
      </c>
      <c r="L63" s="1" t="s">
        <v>17</v>
      </c>
    </row>
    <row r="64" customFormat="false" ht="15" hidden="false" customHeight="false" outlineLevel="0" collapsed="false">
      <c r="B64" s="1" t="s">
        <v>43</v>
      </c>
      <c r="C64" s="1" t="s">
        <v>128</v>
      </c>
      <c r="D64" s="1" t="s">
        <v>136</v>
      </c>
      <c r="E64" s="1" t="s">
        <v>137</v>
      </c>
      <c r="F64" s="1" t="s">
        <v>112</v>
      </c>
      <c r="G64" s="1" t="n">
        <v>10</v>
      </c>
      <c r="H64" s="1" t="n">
        <f aca="false">detail!B64</f>
        <v>10</v>
      </c>
      <c r="I64" s="1" t="n">
        <f aca="false">G64-H64</f>
        <v>0</v>
      </c>
      <c r="J64" s="4" t="n">
        <f aca="false">(H64/(H64+I64))</f>
        <v>1</v>
      </c>
      <c r="K64" s="1" t="s">
        <v>56</v>
      </c>
      <c r="L64" s="1" t="s">
        <v>17</v>
      </c>
    </row>
    <row r="65" customFormat="false" ht="15" hidden="false" customHeight="false" outlineLevel="0" collapsed="false">
      <c r="B65" s="1" t="s">
        <v>43</v>
      </c>
      <c r="C65" s="1" t="s">
        <v>128</v>
      </c>
      <c r="D65" s="1" t="s">
        <v>138</v>
      </c>
      <c r="E65" s="1" t="s">
        <v>139</v>
      </c>
      <c r="F65" s="1" t="s">
        <v>112</v>
      </c>
      <c r="G65" s="1" t="n">
        <v>10</v>
      </c>
      <c r="H65" s="1" t="n">
        <f aca="false">detail!B65</f>
        <v>10</v>
      </c>
      <c r="I65" s="1" t="n">
        <f aca="false">G65-H65</f>
        <v>0</v>
      </c>
      <c r="J65" s="4" t="n">
        <f aca="false">(H65/(H65+I65))</f>
        <v>1</v>
      </c>
      <c r="K65" s="1" t="s">
        <v>51</v>
      </c>
      <c r="L65" s="1" t="s">
        <v>17</v>
      </c>
    </row>
    <row r="66" customFormat="false" ht="15" hidden="false" customHeight="false" outlineLevel="0" collapsed="false">
      <c r="B66" s="1" t="s">
        <v>43</v>
      </c>
      <c r="C66" s="1" t="s">
        <v>140</v>
      </c>
      <c r="D66" s="1" t="s">
        <v>119</v>
      </c>
      <c r="E66" s="1" t="s">
        <v>141</v>
      </c>
      <c r="F66" s="1" t="s">
        <v>142</v>
      </c>
      <c r="G66" s="1" t="n">
        <v>10</v>
      </c>
      <c r="H66" s="1" t="n">
        <f aca="false">detail!B66</f>
        <v>10</v>
      </c>
      <c r="I66" s="1" t="n">
        <f aca="false">G66-H66</f>
        <v>0</v>
      </c>
      <c r="J66" s="4" t="n">
        <f aca="false">(H66/(H66+I66))</f>
        <v>1</v>
      </c>
      <c r="K66" s="1" t="s">
        <v>143</v>
      </c>
      <c r="L66" s="1" t="s">
        <v>17</v>
      </c>
    </row>
    <row r="67" customFormat="false" ht="15" hidden="false" customHeight="false" outlineLevel="0" collapsed="false">
      <c r="B67" s="1" t="s">
        <v>43</v>
      </c>
      <c r="C67" s="1" t="s">
        <v>140</v>
      </c>
      <c r="D67" s="1" t="s">
        <v>80</v>
      </c>
      <c r="E67" s="1" t="s">
        <v>144</v>
      </c>
      <c r="F67" s="1" t="s">
        <v>142</v>
      </c>
      <c r="G67" s="1" t="n">
        <v>5</v>
      </c>
      <c r="H67" s="1" t="n">
        <f aca="false">detail!B67</f>
        <v>5</v>
      </c>
      <c r="I67" s="1" t="n">
        <f aca="false">G67-H67</f>
        <v>0</v>
      </c>
      <c r="J67" s="4" t="n">
        <f aca="false">(H67/(H67+I67))</f>
        <v>1</v>
      </c>
      <c r="K67" s="1" t="s">
        <v>143</v>
      </c>
      <c r="L67" s="1" t="s">
        <v>17</v>
      </c>
    </row>
    <row r="68" customFormat="false" ht="15" hidden="false" customHeight="false" outlineLevel="0" collapsed="false">
      <c r="B68" s="1" t="s">
        <v>43</v>
      </c>
      <c r="C68" s="1" t="s">
        <v>145</v>
      </c>
      <c r="D68" s="1" t="s">
        <v>70</v>
      </c>
      <c r="E68" s="1" t="s">
        <v>146</v>
      </c>
      <c r="F68" s="1" t="s">
        <v>142</v>
      </c>
      <c r="G68" s="1" t="n">
        <v>10</v>
      </c>
      <c r="H68" s="1" t="n">
        <f aca="false">detail!B68</f>
        <v>10</v>
      </c>
      <c r="I68" s="1" t="n">
        <f aca="false">G68-H68</f>
        <v>0</v>
      </c>
      <c r="J68" s="4" t="n">
        <f aca="false">(H68/(H68+I68))</f>
        <v>1</v>
      </c>
      <c r="K68" s="1" t="s">
        <v>51</v>
      </c>
      <c r="L68" s="1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0" width="16.09"/>
    <col collapsed="false" customWidth="true" hidden="false" outlineLevel="0" max="3" min="2" style="0" width="17.56"/>
    <col collapsed="false" customWidth="true" hidden="false" outlineLevel="0" max="4" min="4" style="0" width="12.9"/>
    <col collapsed="false" customWidth="true" hidden="false" outlineLevel="0" max="5" min="5" style="0" width="13.76"/>
  </cols>
  <sheetData>
    <row r="1" customFormat="false" ht="15" hidden="false" customHeight="false" outlineLevel="0" collapsed="false">
      <c r="A1" s="3" t="s">
        <v>147</v>
      </c>
      <c r="B1" s="3" t="s">
        <v>148</v>
      </c>
      <c r="C1" s="3" t="s">
        <v>149</v>
      </c>
      <c r="D1" s="3" t="s">
        <v>150</v>
      </c>
      <c r="E1" s="3" t="s">
        <v>151</v>
      </c>
    </row>
    <row r="2" customFormat="false" ht="15" hidden="false" customHeight="false" outlineLevel="0" collapsed="false">
      <c r="A2" s="1" t="n">
        <f aca="false">SUM('liste des taches'!G2:G329)</f>
        <v>489</v>
      </c>
      <c r="B2" s="1" t="n">
        <f aca="false">SUM('liste des taches'!H2:H329)</f>
        <v>489</v>
      </c>
      <c r="C2" s="1" t="n">
        <f aca="false">SUM('liste des taches'!I2:I329)</f>
        <v>0</v>
      </c>
      <c r="D2" s="4" t="n">
        <f aca="false">(B2/(B2+C2))</f>
        <v>1</v>
      </c>
      <c r="E2" s="1" t="n">
        <f aca="false">((B2+C2)-A2)/A2</f>
        <v>0</v>
      </c>
    </row>
    <row r="3" customFormat="false" ht="15" hidden="false" customHeight="false" outlineLevel="0" collapsed="false">
      <c r="C3" s="1" t="n">
        <f aca="false">C2/60</f>
        <v>0</v>
      </c>
      <c r="D3" s="1" t="s">
        <v>152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sheetData>
    <row r="1" customFormat="false" ht="15" hidden="false" customHeight="false" outlineLevel="0" collapsed="false">
      <c r="A1" s="5"/>
      <c r="B1" s="1" t="s">
        <v>153</v>
      </c>
      <c r="C1" s="6" t="n">
        <v>46152</v>
      </c>
    </row>
    <row r="2" customFormat="false" ht="15" hidden="false" customHeight="false" outlineLevel="0" collapsed="false">
      <c r="A2" s="1"/>
      <c r="B2" s="1" t="n">
        <f aca="false">SUM(C2:P2)</f>
        <v>1</v>
      </c>
      <c r="C2" s="1" t="n">
        <v>1</v>
      </c>
    </row>
    <row r="3" customFormat="false" ht="15" hidden="false" customHeight="false" outlineLevel="0" collapsed="false">
      <c r="A3" s="1"/>
      <c r="B3" s="1" t="n">
        <f aca="false">SUM(C3:P3)</f>
        <v>1</v>
      </c>
      <c r="C3" s="1" t="n">
        <v>1</v>
      </c>
    </row>
    <row r="4" customFormat="false" ht="15" hidden="false" customHeight="false" outlineLevel="0" collapsed="false">
      <c r="A4" s="1"/>
      <c r="B4" s="1" t="n">
        <f aca="false">SUM(C4:P4)</f>
        <v>1</v>
      </c>
      <c r="C4" s="1" t="n">
        <v>1</v>
      </c>
    </row>
    <row r="5" customFormat="false" ht="15" hidden="false" customHeight="false" outlineLevel="0" collapsed="false">
      <c r="A5" s="1"/>
      <c r="B5" s="1" t="n">
        <f aca="false">SUM(C5:P5)</f>
        <v>1</v>
      </c>
      <c r="C5" s="1" t="n">
        <v>1</v>
      </c>
    </row>
    <row r="6" customFormat="false" ht="15" hidden="false" customHeight="false" outlineLevel="0" collapsed="false">
      <c r="A6" s="1"/>
      <c r="B6" s="1" t="n">
        <f aca="false">SUM(C6:P6)</f>
        <v>1</v>
      </c>
      <c r="C6" s="1" t="n">
        <v>1</v>
      </c>
    </row>
    <row r="7" customFormat="false" ht="15" hidden="false" customHeight="false" outlineLevel="0" collapsed="false">
      <c r="A7" s="1"/>
      <c r="B7" s="1" t="n">
        <f aca="false">SUM(C7:P7)</f>
        <v>1</v>
      </c>
      <c r="C7" s="1" t="n">
        <v>1</v>
      </c>
    </row>
    <row r="8" customFormat="false" ht="15" hidden="false" customHeight="false" outlineLevel="0" collapsed="false">
      <c r="A8" s="1"/>
      <c r="B8" s="1" t="n">
        <f aca="false">SUM(C8:P8)</f>
        <v>1</v>
      </c>
      <c r="C8" s="1" t="n">
        <v>1</v>
      </c>
    </row>
    <row r="9" customFormat="false" ht="15" hidden="false" customHeight="false" outlineLevel="0" collapsed="false">
      <c r="A9" s="1"/>
      <c r="B9" s="1" t="n">
        <f aca="false">SUM(C9:P9)</f>
        <v>1</v>
      </c>
      <c r="C9" s="1" t="n">
        <v>1</v>
      </c>
    </row>
    <row r="10" customFormat="false" ht="15" hidden="false" customHeight="false" outlineLevel="0" collapsed="false">
      <c r="A10" s="1"/>
      <c r="B10" s="1" t="n">
        <f aca="false">SUM(C10:P10)</f>
        <v>1</v>
      </c>
      <c r="C10" s="1" t="n">
        <v>1</v>
      </c>
    </row>
    <row r="11" customFormat="false" ht="15" hidden="false" customHeight="false" outlineLevel="0" collapsed="false">
      <c r="A11" s="1"/>
      <c r="B11" s="1" t="n">
        <f aca="false">SUM(C11:P11)</f>
        <v>1</v>
      </c>
      <c r="C11" s="1" t="n">
        <v>1</v>
      </c>
    </row>
    <row r="12" customFormat="false" ht="15" hidden="false" customHeight="false" outlineLevel="0" collapsed="false">
      <c r="A12" s="1"/>
      <c r="B12" s="1" t="n">
        <f aca="false">SUM(C12:P12)</f>
        <v>1</v>
      </c>
      <c r="C12" s="1" t="n">
        <v>1</v>
      </c>
    </row>
    <row r="13" customFormat="false" ht="15" hidden="false" customHeight="false" outlineLevel="0" collapsed="false">
      <c r="A13" s="1"/>
      <c r="B13" s="1" t="n">
        <f aca="false">SUM(C13:P13)</f>
        <v>1</v>
      </c>
      <c r="C13" s="1" t="n">
        <v>1</v>
      </c>
    </row>
    <row r="14" customFormat="false" ht="15" hidden="false" customHeight="false" outlineLevel="0" collapsed="false">
      <c r="A14" s="1"/>
      <c r="B14" s="1" t="n">
        <f aca="false">SUM(C14:P14)</f>
        <v>1</v>
      </c>
      <c r="C14" s="1" t="n">
        <v>1</v>
      </c>
    </row>
    <row r="15" customFormat="false" ht="15" hidden="false" customHeight="false" outlineLevel="0" collapsed="false">
      <c r="A15" s="1"/>
      <c r="B15" s="1" t="n">
        <f aca="false">SUM(C15:P15)</f>
        <v>1</v>
      </c>
      <c r="C15" s="1" t="n">
        <v>1</v>
      </c>
    </row>
    <row r="16" customFormat="false" ht="15" hidden="false" customHeight="false" outlineLevel="0" collapsed="false">
      <c r="A16" s="1"/>
      <c r="B16" s="1" t="n">
        <f aca="false">SUM(C16:P16)</f>
        <v>1</v>
      </c>
      <c r="C16" s="1" t="n">
        <v>1</v>
      </c>
    </row>
    <row r="17" customFormat="false" ht="15" hidden="false" customHeight="false" outlineLevel="0" collapsed="false">
      <c r="A17" s="1"/>
      <c r="B17" s="1" t="n">
        <f aca="false">SUM(C17:P17)</f>
        <v>1</v>
      </c>
      <c r="C17" s="1" t="n">
        <v>1</v>
      </c>
    </row>
    <row r="18" customFormat="false" ht="15" hidden="false" customHeight="false" outlineLevel="0" collapsed="false">
      <c r="A18" s="1"/>
      <c r="B18" s="1" t="n">
        <f aca="false">SUM(C18:P18)</f>
        <v>1</v>
      </c>
      <c r="C18" s="1" t="n">
        <v>1</v>
      </c>
    </row>
    <row r="19" customFormat="false" ht="15" hidden="false" customHeight="false" outlineLevel="0" collapsed="false">
      <c r="A19" s="1"/>
      <c r="B19" s="1" t="n">
        <f aca="false">SUM(C19:P19)</f>
        <v>1</v>
      </c>
      <c r="C19" s="1" t="n">
        <v>1</v>
      </c>
    </row>
    <row r="20" customFormat="false" ht="15" hidden="false" customHeight="false" outlineLevel="0" collapsed="false">
      <c r="A20" s="1"/>
      <c r="B20" s="1" t="n">
        <f aca="false">SUM(C20:P20)</f>
        <v>1</v>
      </c>
      <c r="C20" s="1" t="n">
        <v>1</v>
      </c>
    </row>
    <row r="21" customFormat="false" ht="15" hidden="false" customHeight="false" outlineLevel="0" collapsed="false">
      <c r="A21" s="1"/>
      <c r="B21" s="1" t="n">
        <f aca="false">SUM(C21:P21)</f>
        <v>2</v>
      </c>
      <c r="C21" s="1" t="n">
        <v>2</v>
      </c>
    </row>
    <row r="22" customFormat="false" ht="15" hidden="false" customHeight="false" outlineLevel="0" collapsed="false">
      <c r="A22" s="1"/>
      <c r="B22" s="1" t="n">
        <f aca="false">SUM(C22:P22)</f>
        <v>1</v>
      </c>
      <c r="C22" s="1" t="n">
        <v>1</v>
      </c>
    </row>
    <row r="23" customFormat="false" ht="15" hidden="false" customHeight="false" outlineLevel="0" collapsed="false">
      <c r="A23" s="1"/>
      <c r="B23" s="1" t="n">
        <f aca="false">SUM(C23:P23)</f>
        <v>1</v>
      </c>
      <c r="C23" s="1" t="n">
        <v>1</v>
      </c>
    </row>
    <row r="24" customFormat="false" ht="15" hidden="false" customHeight="false" outlineLevel="0" collapsed="false">
      <c r="A24" s="1"/>
      <c r="B24" s="1" t="n">
        <f aca="false">SUM(C24:P24)</f>
        <v>1</v>
      </c>
      <c r="C24" s="1" t="n">
        <v>1</v>
      </c>
    </row>
    <row r="25" customFormat="false" ht="15" hidden="false" customHeight="false" outlineLevel="0" collapsed="false">
      <c r="A25" s="1"/>
      <c r="B25" s="1" t="n">
        <f aca="false">SUM(C25:P25)</f>
        <v>10</v>
      </c>
      <c r="C25" s="1" t="n">
        <v>10</v>
      </c>
    </row>
    <row r="26" customFormat="false" ht="15" hidden="false" customHeight="false" outlineLevel="0" collapsed="false">
      <c r="A26" s="1"/>
      <c r="B26" s="1" t="n">
        <f aca="false">SUM(C26:P26)</f>
        <v>10</v>
      </c>
      <c r="C26" s="1" t="n">
        <v>10</v>
      </c>
    </row>
    <row r="27" customFormat="false" ht="15" hidden="false" customHeight="false" outlineLevel="0" collapsed="false">
      <c r="A27" s="1"/>
      <c r="B27" s="1" t="n">
        <f aca="false">SUM(C27:P27)</f>
        <v>15</v>
      </c>
      <c r="C27" s="1" t="n">
        <v>15</v>
      </c>
    </row>
    <row r="28" customFormat="false" ht="15" hidden="false" customHeight="false" outlineLevel="0" collapsed="false">
      <c r="A28" s="1"/>
      <c r="B28" s="1" t="n">
        <f aca="false">SUM(C28:P28)</f>
        <v>10</v>
      </c>
      <c r="C28" s="1" t="n">
        <v>10</v>
      </c>
    </row>
    <row r="29" customFormat="false" ht="15" hidden="false" customHeight="false" outlineLevel="0" collapsed="false">
      <c r="A29" s="1"/>
      <c r="B29" s="1" t="n">
        <f aca="false">SUM(C29:P29)</f>
        <v>10</v>
      </c>
      <c r="C29" s="1" t="n">
        <v>10</v>
      </c>
    </row>
    <row r="30" customFormat="false" ht="15" hidden="false" customHeight="false" outlineLevel="0" collapsed="false">
      <c r="A30" s="1"/>
      <c r="B30" s="1" t="n">
        <f aca="false">SUM(C30:P30)</f>
        <v>10</v>
      </c>
      <c r="C30" s="1" t="n">
        <v>10</v>
      </c>
    </row>
    <row r="31" customFormat="false" ht="15" hidden="false" customHeight="false" outlineLevel="0" collapsed="false">
      <c r="A31" s="1"/>
      <c r="B31" s="1" t="n">
        <f aca="false">SUM(C31:P31)</f>
        <v>5</v>
      </c>
      <c r="C31" s="1" t="n">
        <v>5</v>
      </c>
    </row>
    <row r="32" customFormat="false" ht="15" hidden="false" customHeight="false" outlineLevel="0" collapsed="false">
      <c r="A32" s="1"/>
      <c r="B32" s="1" t="n">
        <f aca="false">SUM(C32:P32)</f>
        <v>5</v>
      </c>
      <c r="C32" s="1" t="n">
        <v>5</v>
      </c>
    </row>
    <row r="33" customFormat="false" ht="15" hidden="false" customHeight="false" outlineLevel="0" collapsed="false">
      <c r="A33" s="1"/>
      <c r="B33" s="1" t="n">
        <f aca="false">SUM(C33:P33)</f>
        <v>5</v>
      </c>
      <c r="C33" s="1" t="n">
        <v>5</v>
      </c>
    </row>
    <row r="34" customFormat="false" ht="15" hidden="false" customHeight="false" outlineLevel="0" collapsed="false">
      <c r="A34" s="1"/>
      <c r="B34" s="1" t="n">
        <f aca="false">SUM(C34:P34)</f>
        <v>15</v>
      </c>
      <c r="C34" s="1" t="n">
        <v>15</v>
      </c>
    </row>
    <row r="35" customFormat="false" ht="15" hidden="false" customHeight="false" outlineLevel="0" collapsed="false">
      <c r="A35" s="1"/>
      <c r="B35" s="1" t="n">
        <f aca="false">SUM(C35:P35)</f>
        <v>15</v>
      </c>
      <c r="C35" s="1" t="n">
        <v>15</v>
      </c>
    </row>
    <row r="36" customFormat="false" ht="15" hidden="false" customHeight="false" outlineLevel="0" collapsed="false">
      <c r="A36" s="1"/>
      <c r="B36" s="1" t="n">
        <f aca="false">SUM(C36:P36)</f>
        <v>20</v>
      </c>
      <c r="C36" s="1" t="n">
        <v>20</v>
      </c>
    </row>
    <row r="37" customFormat="false" ht="15" hidden="false" customHeight="false" outlineLevel="0" collapsed="false">
      <c r="A37" s="1"/>
      <c r="B37" s="1" t="n">
        <f aca="false">SUM(C37:P37)</f>
        <v>10</v>
      </c>
      <c r="C37" s="1" t="n">
        <v>10</v>
      </c>
    </row>
    <row r="38" customFormat="false" ht="15" hidden="false" customHeight="false" outlineLevel="0" collapsed="false">
      <c r="A38" s="1"/>
      <c r="B38" s="1" t="n">
        <f aca="false">SUM(C38:P38)</f>
        <v>20</v>
      </c>
      <c r="C38" s="1" t="n">
        <v>20</v>
      </c>
    </row>
    <row r="39" customFormat="false" ht="15" hidden="false" customHeight="false" outlineLevel="0" collapsed="false">
      <c r="A39" s="1"/>
      <c r="B39" s="1" t="n">
        <f aca="false">SUM(C39:P39)</f>
        <v>15</v>
      </c>
      <c r="C39" s="1" t="n">
        <v>15</v>
      </c>
    </row>
    <row r="40" customFormat="false" ht="15" hidden="false" customHeight="false" outlineLevel="0" collapsed="false">
      <c r="A40" s="1"/>
      <c r="B40" s="1" t="n">
        <f aca="false">SUM(C40:P40)</f>
        <v>10</v>
      </c>
      <c r="C40" s="1" t="n">
        <v>10</v>
      </c>
    </row>
    <row r="41" customFormat="false" ht="15" hidden="false" customHeight="false" outlineLevel="0" collapsed="false">
      <c r="A41" s="1"/>
      <c r="B41" s="1" t="n">
        <f aca="false">SUM(C41:P41)</f>
        <v>15</v>
      </c>
      <c r="C41" s="1" t="n">
        <v>15</v>
      </c>
    </row>
    <row r="42" customFormat="false" ht="15" hidden="false" customHeight="false" outlineLevel="0" collapsed="false">
      <c r="A42" s="1"/>
      <c r="B42" s="1" t="n">
        <f aca="false">SUM(C42:P42)</f>
        <v>10</v>
      </c>
      <c r="C42" s="1" t="n">
        <v>10</v>
      </c>
    </row>
    <row r="43" customFormat="false" ht="15" hidden="false" customHeight="false" outlineLevel="0" collapsed="false">
      <c r="A43" s="1"/>
      <c r="B43" s="1" t="n">
        <f aca="false">SUM(C43:P43)</f>
        <v>15</v>
      </c>
      <c r="C43" s="1" t="n">
        <v>15</v>
      </c>
    </row>
    <row r="44" customFormat="false" ht="15" hidden="false" customHeight="false" outlineLevel="0" collapsed="false">
      <c r="A44" s="1"/>
      <c r="B44" s="1" t="n">
        <f aca="false">SUM(C44:P44)</f>
        <v>20</v>
      </c>
      <c r="C44" s="1" t="n">
        <v>20</v>
      </c>
    </row>
    <row r="45" customFormat="false" ht="15" hidden="false" customHeight="false" outlineLevel="0" collapsed="false">
      <c r="A45" s="1"/>
      <c r="B45" s="1" t="n">
        <f aca="false">SUM(C45:P45)</f>
        <v>10</v>
      </c>
      <c r="C45" s="1" t="n">
        <v>10</v>
      </c>
    </row>
    <row r="46" customFormat="false" ht="15" hidden="false" customHeight="false" outlineLevel="0" collapsed="false">
      <c r="A46" s="1"/>
      <c r="B46" s="1" t="n">
        <f aca="false">SUM(C46:P46)</f>
        <v>10</v>
      </c>
      <c r="C46" s="1" t="n">
        <v>10</v>
      </c>
    </row>
    <row r="47" customFormat="false" ht="15" hidden="false" customHeight="false" outlineLevel="0" collapsed="false">
      <c r="A47" s="1"/>
      <c r="B47" s="1" t="n">
        <f aca="false">SUM(C47:P47)</f>
        <v>5</v>
      </c>
      <c r="C47" s="1" t="n">
        <v>5</v>
      </c>
    </row>
    <row r="48" customFormat="false" ht="15" hidden="false" customHeight="false" outlineLevel="0" collapsed="false">
      <c r="A48" s="1"/>
      <c r="B48" s="1" t="n">
        <f aca="false">SUM(C48:P48)</f>
        <v>5</v>
      </c>
      <c r="C48" s="1" t="n">
        <v>5</v>
      </c>
    </row>
    <row r="49" customFormat="false" ht="15" hidden="false" customHeight="false" outlineLevel="0" collapsed="false">
      <c r="A49" s="1"/>
      <c r="B49" s="1" t="n">
        <f aca="false">SUM(C49:P49)</f>
        <v>5</v>
      </c>
      <c r="C49" s="1" t="n">
        <v>5</v>
      </c>
    </row>
    <row r="50" customFormat="false" ht="15" hidden="false" customHeight="false" outlineLevel="0" collapsed="false">
      <c r="A50" s="1"/>
      <c r="B50" s="1" t="n">
        <f aca="false">SUM(C50:P50)</f>
        <v>5</v>
      </c>
      <c r="C50" s="1" t="n">
        <v>5</v>
      </c>
    </row>
    <row r="51" customFormat="false" ht="15" hidden="false" customHeight="false" outlineLevel="0" collapsed="false">
      <c r="A51" s="1"/>
      <c r="B51" s="1" t="n">
        <f aca="false">SUM(C51:P51)</f>
        <v>5</v>
      </c>
      <c r="C51" s="1" t="n">
        <v>5</v>
      </c>
    </row>
    <row r="52" customFormat="false" ht="15" hidden="false" customHeight="false" outlineLevel="0" collapsed="false">
      <c r="A52" s="1"/>
      <c r="B52" s="1" t="n">
        <f aca="false">SUM(C52:P52)</f>
        <v>10</v>
      </c>
      <c r="C52" s="1" t="n">
        <v>10</v>
      </c>
    </row>
    <row r="53" customFormat="false" ht="15" hidden="false" customHeight="false" outlineLevel="0" collapsed="false">
      <c r="A53" s="1"/>
      <c r="B53" s="1" t="n">
        <f aca="false">SUM(C53:P53)</f>
        <v>10</v>
      </c>
      <c r="C53" s="1" t="n">
        <v>10</v>
      </c>
    </row>
    <row r="54" customFormat="false" ht="15" hidden="false" customHeight="false" outlineLevel="0" collapsed="false">
      <c r="A54" s="1"/>
      <c r="B54" s="1" t="n">
        <f aca="false">SUM(C54:P54)</f>
        <v>10</v>
      </c>
      <c r="C54" s="1" t="n">
        <v>10</v>
      </c>
    </row>
    <row r="55" customFormat="false" ht="15" hidden="false" customHeight="false" outlineLevel="0" collapsed="false">
      <c r="A55" s="1"/>
      <c r="B55" s="1" t="n">
        <f aca="false">SUM(C55:P55)</f>
        <v>10</v>
      </c>
      <c r="C55" s="1" t="n">
        <v>10</v>
      </c>
    </row>
    <row r="56" customFormat="false" ht="15" hidden="false" customHeight="false" outlineLevel="0" collapsed="false">
      <c r="A56" s="1"/>
      <c r="B56" s="1" t="n">
        <f aca="false">SUM(C56:P56)</f>
        <v>10</v>
      </c>
      <c r="C56" s="1" t="n">
        <v>10</v>
      </c>
    </row>
    <row r="57" customFormat="false" ht="15" hidden="false" customHeight="false" outlineLevel="0" collapsed="false">
      <c r="A57" s="1"/>
      <c r="B57" s="1" t="n">
        <f aca="false">SUM(C57:P57)</f>
        <v>10</v>
      </c>
      <c r="C57" s="1" t="n">
        <v>10</v>
      </c>
    </row>
    <row r="58" customFormat="false" ht="15" hidden="false" customHeight="false" outlineLevel="0" collapsed="false">
      <c r="A58" s="1"/>
      <c r="B58" s="1" t="n">
        <f aca="false">SUM(C58:P58)</f>
        <v>10</v>
      </c>
      <c r="C58" s="1" t="n">
        <v>10</v>
      </c>
    </row>
    <row r="59" customFormat="false" ht="15" hidden="false" customHeight="false" outlineLevel="0" collapsed="false">
      <c r="A59" s="1"/>
      <c r="B59" s="1" t="n">
        <f aca="false">SUM(C59:P59)</f>
        <v>15</v>
      </c>
      <c r="C59" s="1" t="n">
        <v>15</v>
      </c>
    </row>
    <row r="60" customFormat="false" ht="15" hidden="false" customHeight="false" outlineLevel="0" collapsed="false">
      <c r="A60" s="1"/>
      <c r="B60" s="1" t="n">
        <f aca="false">SUM(C60:P60)</f>
        <v>10</v>
      </c>
      <c r="C60" s="1" t="n">
        <v>10</v>
      </c>
    </row>
    <row r="61" customFormat="false" ht="15" hidden="false" customHeight="false" outlineLevel="0" collapsed="false">
      <c r="A61" s="1"/>
      <c r="B61" s="1" t="n">
        <f aca="false">SUM(C61:P61)</f>
        <v>15</v>
      </c>
      <c r="C61" s="1" t="n">
        <v>15</v>
      </c>
    </row>
    <row r="62" customFormat="false" ht="15" hidden="false" customHeight="false" outlineLevel="0" collapsed="false">
      <c r="A62" s="1"/>
      <c r="B62" s="1" t="n">
        <f aca="false">SUM(C62:P62)</f>
        <v>10</v>
      </c>
      <c r="C62" s="1" t="n">
        <v>10</v>
      </c>
    </row>
    <row r="63" customFormat="false" ht="15" hidden="false" customHeight="false" outlineLevel="0" collapsed="false">
      <c r="A63" s="1"/>
      <c r="B63" s="1" t="n">
        <f aca="false">SUM(C63:P63)</f>
        <v>10</v>
      </c>
      <c r="C63" s="1" t="n">
        <v>10</v>
      </c>
    </row>
    <row r="64" customFormat="false" ht="15" hidden="false" customHeight="false" outlineLevel="0" collapsed="false">
      <c r="A64" s="1"/>
      <c r="B64" s="1" t="n">
        <f aca="false">SUM(C64:P64)</f>
        <v>10</v>
      </c>
      <c r="C64" s="1" t="n">
        <v>10</v>
      </c>
    </row>
    <row r="65" customFormat="false" ht="15" hidden="false" customHeight="false" outlineLevel="0" collapsed="false">
      <c r="A65" s="1"/>
      <c r="B65" s="1" t="n">
        <f aca="false">SUM(C65:P65)</f>
        <v>10</v>
      </c>
      <c r="C65" s="1" t="n">
        <v>10</v>
      </c>
    </row>
    <row r="66" customFormat="false" ht="15" hidden="false" customHeight="false" outlineLevel="0" collapsed="false">
      <c r="A66" s="1"/>
      <c r="B66" s="1" t="n">
        <f aca="false">SUM(C66:P66)</f>
        <v>10</v>
      </c>
      <c r="C66" s="1" t="n">
        <v>10</v>
      </c>
    </row>
    <row r="67" customFormat="false" ht="15" hidden="false" customHeight="false" outlineLevel="0" collapsed="false">
      <c r="A67" s="1"/>
      <c r="B67" s="1" t="n">
        <f aca="false">SUM(C67:P67)</f>
        <v>5</v>
      </c>
      <c r="C67" s="1" t="n">
        <v>5</v>
      </c>
    </row>
    <row r="68" customFormat="false" ht="15" hidden="false" customHeight="false" outlineLevel="0" collapsed="false">
      <c r="A68" s="1"/>
      <c r="B68" s="1" t="n">
        <f aca="false">SUM(C68:P68)</f>
        <v>10</v>
      </c>
      <c r="C68" s="1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2026-05-10T15:21:10Z</dcterms:created>
  <dc:creator>openpyxl</dc:creator>
  <dc:description/>
  <dc:language>en-US</dc:language>
  <cp:lastModifiedBy/>
  <dcterms:modified xsi:type="dcterms:W3CDTF">2026-05-10T18:34:37Z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